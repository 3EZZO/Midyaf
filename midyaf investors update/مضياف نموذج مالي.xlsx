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istrator\OneDrive\Documents\HN3\MIDYAF\midyaf investors update\"/>
    </mc:Choice>
  </mc:AlternateContent>
  <xr:revisionPtr revIDLastSave="0" documentId="11_E6382389B61CB84EF2FEFA7DC72C7CE3618F1E7A" xr6:coauthVersionLast="47" xr6:coauthVersionMax="47" xr10:uidLastSave="{00000000-0000-0000-0000-000000000000}"/>
  <bookViews>
    <workbookView xWindow="-110" yWindow="-110" windowWidth="19420" windowHeight="11020" tabRatio="500" activeTab="4" xr2:uid="{00000000-000D-0000-FFFF-FFFF00000000}"/>
  </bookViews>
  <sheets>
    <sheet name="Income Statement" sheetId="1" r:id="rId1"/>
    <sheet name="Cash Flow" sheetId="2" r:id="rId2"/>
    <sheet name="Balance Sheet" sheetId="3" r:id="rId3"/>
    <sheet name="Assumptions" sheetId="4" r:id="rId4"/>
    <sheet name="output" sheetId="5" r:id="rId5"/>
  </sheets>
  <calcPr calcId="181029" iterateDelta="1E-4"/>
</workbook>
</file>

<file path=xl/calcChain.xml><?xml version="1.0" encoding="utf-8"?>
<calcChain xmlns="http://schemas.openxmlformats.org/spreadsheetml/2006/main">
  <c r="H169" i="4" l="1"/>
  <c r="D181" i="4" s="1"/>
  <c r="H161" i="4"/>
  <c r="G161" i="4"/>
  <c r="F161" i="4"/>
  <c r="H160" i="4"/>
  <c r="G160" i="4"/>
  <c r="F160" i="4"/>
  <c r="F156" i="4"/>
  <c r="D156" i="4"/>
  <c r="C156" i="4"/>
  <c r="F146" i="4"/>
  <c r="E146" i="4"/>
  <c r="D146" i="4"/>
  <c r="C146" i="4"/>
  <c r="F139" i="4"/>
  <c r="E139" i="4"/>
  <c r="D139" i="4"/>
  <c r="C139" i="4"/>
  <c r="G118" i="4"/>
  <c r="F103" i="4"/>
  <c r="F104" i="4" s="1"/>
  <c r="I21" i="5" s="1"/>
  <c r="D103" i="4"/>
  <c r="D104" i="4" s="1"/>
  <c r="D182" i="4" s="1"/>
  <c r="F102" i="4"/>
  <c r="G102" i="4" s="1"/>
  <c r="G101" i="4"/>
  <c r="F101" i="4"/>
  <c r="F100" i="4"/>
  <c r="G100" i="4" s="1"/>
  <c r="G99" i="4"/>
  <c r="F99" i="4"/>
  <c r="F98" i="4"/>
  <c r="G98" i="4" s="1"/>
  <c r="G97" i="4"/>
  <c r="F97" i="4"/>
  <c r="F96" i="4"/>
  <c r="G96" i="4" s="1"/>
  <c r="F91" i="4" a="1"/>
  <c r="F91" i="4" s="1"/>
  <c r="F90" i="4" a="1"/>
  <c r="F90" i="4"/>
  <c r="H162" i="4" s="1"/>
  <c r="F64" i="4" a="1"/>
  <c r="F64" i="4" s="1"/>
  <c r="H49" i="4"/>
  <c r="H56" i="4" s="1"/>
  <c r="G49" i="4"/>
  <c r="G56" i="4" s="1"/>
  <c r="F49" i="4"/>
  <c r="F56" i="4" s="1"/>
  <c r="F45" i="4"/>
  <c r="F44" i="4"/>
  <c r="G33" i="4"/>
  <c r="G58" i="4" s="1"/>
  <c r="G66" i="4" s="1" a="1"/>
  <c r="G66" i="4" s="1"/>
  <c r="F33" i="4"/>
  <c r="F58" i="4" s="1"/>
  <c r="F32" i="4"/>
  <c r="F57" i="4" s="1"/>
  <c r="G29" i="4"/>
  <c r="G45" i="4" s="1"/>
  <c r="H28" i="4"/>
  <c r="H44" i="4" s="1"/>
  <c r="G28" i="4"/>
  <c r="G44" i="4" s="1"/>
  <c r="G64" i="4" s="1" a="1"/>
  <c r="G64" i="4" s="1"/>
  <c r="G27" i="4"/>
  <c r="G43" i="4" s="1"/>
  <c r="F24" i="4" a="1"/>
  <c r="F24" i="4" s="1"/>
  <c r="G23" i="4"/>
  <c r="G26" i="4" s="1"/>
  <c r="G31" i="4" s="1"/>
  <c r="F23" i="4"/>
  <c r="F26" i="4" s="1"/>
  <c r="F31" i="4" s="1"/>
  <c r="H21" i="4"/>
  <c r="G21" i="4"/>
  <c r="F21" i="4"/>
  <c r="F34" i="4" s="1"/>
  <c r="H20" i="4"/>
  <c r="H17" i="4" s="1" a="1"/>
  <c r="H17" i="4" s="1"/>
  <c r="G20" i="4"/>
  <c r="F20" i="4"/>
  <c r="H19" i="4"/>
  <c r="G19" i="4"/>
  <c r="F19" i="4"/>
  <c r="F43" i="4" s="1"/>
  <c r="G17" i="4" a="1"/>
  <c r="G17" i="4" s="1"/>
  <c r="F17" i="4" a="1"/>
  <c r="F17" i="4"/>
  <c r="H16" i="4"/>
  <c r="H23" i="4" s="1"/>
  <c r="H26" i="4" s="1"/>
  <c r="H31" i="4" s="1"/>
  <c r="G16" i="4"/>
  <c r="F16" i="4"/>
  <c r="H9" i="4" a="1"/>
  <c r="H9" i="4"/>
  <c r="G9" i="4" a="1"/>
  <c r="G9" i="4" s="1"/>
  <c r="H38" i="5" s="1"/>
  <c r="H39" i="5" s="1"/>
  <c r="F9" i="4" a="1"/>
  <c r="F9" i="4"/>
  <c r="D11" i="3"/>
  <c r="C11" i="3"/>
  <c r="B11" i="3"/>
  <c r="B13" i="2"/>
  <c r="B4" i="2"/>
  <c r="B10" i="2" s="1"/>
  <c r="D27" i="1"/>
  <c r="C27" i="1"/>
  <c r="B27" i="1"/>
  <c r="D26" i="1"/>
  <c r="C26" i="1"/>
  <c r="B26" i="1"/>
  <c r="D25" i="1"/>
  <c r="C25" i="1"/>
  <c r="B25" i="1"/>
  <c r="B24" i="1"/>
  <c r="B28" i="1" s="1"/>
  <c r="B23" i="1"/>
  <c r="C6" i="1"/>
  <c r="C4" i="1"/>
  <c r="B4" i="1"/>
  <c r="I73" i="5"/>
  <c r="K61" i="5"/>
  <c r="J61" i="5"/>
  <c r="I61" i="5"/>
  <c r="K58" i="5"/>
  <c r="J58" i="5"/>
  <c r="I58" i="5"/>
  <c r="H56" i="5"/>
  <c r="H48" i="5"/>
  <c r="I83" i="5" s="1"/>
  <c r="J39" i="5"/>
  <c r="J37" i="5"/>
  <c r="H37" i="5"/>
  <c r="J24" i="5"/>
  <c r="I24" i="5"/>
  <c r="H24" i="5"/>
  <c r="J23" i="5"/>
  <c r="I23" i="5"/>
  <c r="H23" i="5"/>
  <c r="J22" i="5"/>
  <c r="I22" i="5"/>
  <c r="H22" i="5"/>
  <c r="H21" i="5"/>
  <c r="D16" i="5"/>
  <c r="D15" i="5"/>
  <c r="D14" i="5"/>
  <c r="D13" i="5"/>
  <c r="D12" i="5"/>
  <c r="D11" i="5"/>
  <c r="D10" i="5"/>
  <c r="D9" i="5"/>
  <c r="D8" i="5"/>
  <c r="I5" i="5"/>
  <c r="D5" i="5"/>
  <c r="D4" i="5"/>
  <c r="I3" i="5"/>
  <c r="D3" i="5"/>
  <c r="J83" i="5" l="1"/>
  <c r="K83" i="5"/>
  <c r="C115" i="4"/>
  <c r="C111" i="4"/>
  <c r="C116" i="4"/>
  <c r="C112" i="4"/>
  <c r="C117" i="4"/>
  <c r="C113" i="4"/>
  <c r="C109" i="4"/>
  <c r="C114" i="4"/>
  <c r="C110" i="4"/>
  <c r="H163" i="4"/>
  <c r="G163" i="4"/>
  <c r="F163" i="4"/>
  <c r="F164" i="4" s="1"/>
  <c r="H3" i="5"/>
  <c r="G103" i="4"/>
  <c r="G104" i="4" s="1"/>
  <c r="H53" i="5"/>
  <c r="I37" i="5"/>
  <c r="I38" i="5" s="1"/>
  <c r="I39" i="5" s="1"/>
  <c r="J73" i="5"/>
  <c r="C23" i="1"/>
  <c r="B6" i="1"/>
  <c r="F66" i="4" a="1"/>
  <c r="F66" i="4" s="1"/>
  <c r="H5" i="5" s="1"/>
  <c r="F59" i="4"/>
  <c r="F52" i="4"/>
  <c r="D4" i="1"/>
  <c r="H64" i="4" a="1"/>
  <c r="H64" i="4" s="1"/>
  <c r="D26" i="3"/>
  <c r="C26" i="3"/>
  <c r="B26" i="3"/>
  <c r="H164" i="4"/>
  <c r="G34" i="4"/>
  <c r="H27" i="4"/>
  <c r="H29" i="4"/>
  <c r="F51" i="4"/>
  <c r="F162" i="4"/>
  <c r="G24" i="4" a="1"/>
  <c r="G24" i="4" s="1"/>
  <c r="G32" i="4"/>
  <c r="H33" i="4"/>
  <c r="F50" i="4"/>
  <c r="G51" i="4"/>
  <c r="H90" i="4"/>
  <c r="G162" i="4"/>
  <c r="G164" i="4" s="1"/>
  <c r="I25" i="5" l="1"/>
  <c r="I26" i="5" s="1"/>
  <c r="C32" i="1"/>
  <c r="D6" i="2" s="1"/>
  <c r="J50" i="5"/>
  <c r="I50" i="5"/>
  <c r="B32" i="1"/>
  <c r="C6" i="2" s="1"/>
  <c r="H25" i="5"/>
  <c r="H26" i="5" s="1"/>
  <c r="H58" i="4"/>
  <c r="H51" i="4"/>
  <c r="H24" i="4" a="1"/>
  <c r="H24" i="4" s="1"/>
  <c r="F65" i="4" a="1"/>
  <c r="F65" i="4" s="1"/>
  <c r="B5" i="1"/>
  <c r="B7" i="1" s="1"/>
  <c r="D32" i="1"/>
  <c r="E6" i="2" s="1"/>
  <c r="K50" i="5"/>
  <c r="J25" i="5"/>
  <c r="J3" i="5"/>
  <c r="K73" i="5"/>
  <c r="B14" i="1"/>
  <c r="H13" i="5"/>
  <c r="B12" i="1"/>
  <c r="H11" i="5"/>
  <c r="D180" i="4"/>
  <c r="D12" i="3"/>
  <c r="D13" i="3" s="1"/>
  <c r="C12" i="3"/>
  <c r="C13" i="3" s="1"/>
  <c r="B12" i="3"/>
  <c r="B13" i="3" s="1"/>
  <c r="B14" i="2"/>
  <c r="B15" i="2" s="1"/>
  <c r="H57" i="5"/>
  <c r="H58" i="5" s="1"/>
  <c r="I74" i="5"/>
  <c r="G57" i="4"/>
  <c r="G50" i="4"/>
  <c r="H45" i="4"/>
  <c r="H34" i="4"/>
  <c r="C118" i="4"/>
  <c r="I79" i="5" s="1"/>
  <c r="I80" i="5" s="1"/>
  <c r="B9" i="1"/>
  <c r="H8" i="5"/>
  <c r="H15" i="5"/>
  <c r="B16" i="1"/>
  <c r="G65" i="4" a="1"/>
  <c r="G65" i="4" s="1"/>
  <c r="C5" i="1"/>
  <c r="C7" i="1" s="1"/>
  <c r="D116" i="4"/>
  <c r="D112" i="4"/>
  <c r="D117" i="4"/>
  <c r="D113" i="4"/>
  <c r="D109" i="4"/>
  <c r="D114" i="4"/>
  <c r="D110" i="4"/>
  <c r="D115" i="4"/>
  <c r="D111" i="4"/>
  <c r="H32" i="4"/>
  <c r="H43" i="4"/>
  <c r="B13" i="1"/>
  <c r="H12" i="5"/>
  <c r="B11" i="1"/>
  <c r="H10" i="5"/>
  <c r="G59" i="4"/>
  <c r="G52" i="4"/>
  <c r="C28" i="1"/>
  <c r="C24" i="1"/>
  <c r="D23" i="1"/>
  <c r="J21" i="5"/>
  <c r="J26" i="5" s="1"/>
  <c r="B10" i="1"/>
  <c r="H9" i="5"/>
  <c r="B17" i="1"/>
  <c r="H16" i="5"/>
  <c r="B15" i="1"/>
  <c r="H14" i="5"/>
  <c r="I13" i="5" l="1"/>
  <c r="C14" i="1"/>
  <c r="C12" i="1"/>
  <c r="I11" i="5"/>
  <c r="C16" i="1"/>
  <c r="I15" i="5"/>
  <c r="B6" i="3"/>
  <c r="C7" i="2"/>
  <c r="B21" i="3"/>
  <c r="B7" i="3"/>
  <c r="D24" i="1"/>
  <c r="D28" i="1" s="1"/>
  <c r="I14" i="5"/>
  <c r="C15" i="1"/>
  <c r="H17" i="5"/>
  <c r="J74" i="5"/>
  <c r="I75" i="5"/>
  <c r="H57" i="4"/>
  <c r="H50" i="4"/>
  <c r="D183" i="4"/>
  <c r="D184" i="4" s="1"/>
  <c r="H65" i="4" a="1"/>
  <c r="H65" i="4" s="1"/>
  <c r="D5" i="1"/>
  <c r="D7" i="1" s="1"/>
  <c r="I10" i="5"/>
  <c r="C11" i="1"/>
  <c r="D118" i="4"/>
  <c r="J79" i="5" s="1"/>
  <c r="J80" i="5" s="1"/>
  <c r="I8" i="5"/>
  <c r="C9" i="1"/>
  <c r="H66" i="4" a="1"/>
  <c r="H66" i="4" s="1"/>
  <c r="J5" i="5" s="1"/>
  <c r="D6" i="1"/>
  <c r="I12" i="5"/>
  <c r="C13" i="1"/>
  <c r="C21" i="3"/>
  <c r="C7" i="3"/>
  <c r="D7" i="2"/>
  <c r="C6" i="3"/>
  <c r="H59" i="4"/>
  <c r="H52" i="4"/>
  <c r="H4" i="5"/>
  <c r="H6" i="5" s="1"/>
  <c r="F67" i="4"/>
  <c r="C10" i="1"/>
  <c r="I9" i="5"/>
  <c r="C17" i="1"/>
  <c r="I16" i="5"/>
  <c r="I4" i="5"/>
  <c r="I6" i="5" s="1"/>
  <c r="G67" i="4"/>
  <c r="B18" i="1"/>
  <c r="F117" i="4"/>
  <c r="F113" i="4"/>
  <c r="F109" i="4"/>
  <c r="F114" i="4"/>
  <c r="F110" i="4"/>
  <c r="F115" i="4"/>
  <c r="F111" i="4"/>
  <c r="F116" i="4"/>
  <c r="F112" i="4"/>
  <c r="C25" i="3" l="1"/>
  <c r="B25" i="3"/>
  <c r="B18" i="2"/>
  <c r="B19" i="2" s="1"/>
  <c r="B21" i="2" s="1"/>
  <c r="B23" i="2" s="1"/>
  <c r="C22" i="2" s="1"/>
  <c r="I82" i="5"/>
  <c r="D25" i="3"/>
  <c r="H60" i="5"/>
  <c r="H61" i="5" s="1"/>
  <c r="H63" i="5" s="1"/>
  <c r="H65" i="5" s="1"/>
  <c r="I64" i="5" s="1"/>
  <c r="J15" i="5"/>
  <c r="D16" i="1"/>
  <c r="I52" i="5"/>
  <c r="H33" i="5"/>
  <c r="H34" i="5"/>
  <c r="I51" i="5"/>
  <c r="H35" i="5"/>
  <c r="H40" i="5" s="1"/>
  <c r="H41" i="5" s="1"/>
  <c r="D11" i="1"/>
  <c r="J10" i="5"/>
  <c r="B19" i="3"/>
  <c r="C8" i="2"/>
  <c r="I71" i="5"/>
  <c r="H18" i="5"/>
  <c r="D13" i="1"/>
  <c r="J12" i="5"/>
  <c r="I17" i="5"/>
  <c r="K74" i="5"/>
  <c r="K75" i="5" s="1"/>
  <c r="J75" i="5"/>
  <c r="B19" i="1"/>
  <c r="D14" i="1"/>
  <c r="J13" i="5"/>
  <c r="F118" i="4"/>
  <c r="K79" i="5" s="1"/>
  <c r="K80" i="5" s="1"/>
  <c r="D9" i="1"/>
  <c r="J8" i="5"/>
  <c r="C18" i="1"/>
  <c r="D15" i="1"/>
  <c r="J14" i="5"/>
  <c r="I34" i="5"/>
  <c r="J51" i="5"/>
  <c r="I35" i="5"/>
  <c r="I40" i="5" s="1"/>
  <c r="I41" i="5" s="1"/>
  <c r="J52" i="5"/>
  <c r="I33" i="5"/>
  <c r="D21" i="3"/>
  <c r="D6" i="3"/>
  <c r="E7" i="2"/>
  <c r="D7" i="3"/>
  <c r="J11" i="5"/>
  <c r="D12" i="1"/>
  <c r="D10" i="1"/>
  <c r="J9" i="5"/>
  <c r="D17" i="1"/>
  <c r="J16" i="5"/>
  <c r="J71" i="5"/>
  <c r="I18" i="5"/>
  <c r="J4" i="5"/>
  <c r="J6" i="5" s="1"/>
  <c r="H67" i="4"/>
  <c r="K71" i="5" l="1"/>
  <c r="D18" i="1"/>
  <c r="B30" i="1"/>
  <c r="B20" i="1"/>
  <c r="I27" i="5"/>
  <c r="I19" i="5"/>
  <c r="K82" i="5"/>
  <c r="J82" i="5"/>
  <c r="C19" i="3"/>
  <c r="D8" i="2"/>
  <c r="C19" i="1"/>
  <c r="H19" i="5"/>
  <c r="H27" i="5"/>
  <c r="J35" i="5"/>
  <c r="J40" i="5" s="1"/>
  <c r="J41" i="5" s="1"/>
  <c r="K51" i="5"/>
  <c r="J34" i="5"/>
  <c r="K52" i="5"/>
  <c r="J33" i="5"/>
  <c r="J17" i="5"/>
  <c r="J18" i="5" s="1"/>
  <c r="J27" i="5" l="1"/>
  <c r="J19" i="5"/>
  <c r="B33" i="1"/>
  <c r="B31" i="1"/>
  <c r="C20" i="1"/>
  <c r="C30" i="1"/>
  <c r="H42" i="5"/>
  <c r="I49" i="5"/>
  <c r="I53" i="5" s="1"/>
  <c r="I63" i="5" s="1"/>
  <c r="I65" i="5" s="1"/>
  <c r="I84" i="5"/>
  <c r="I85" i="5" s="1"/>
  <c r="I86" i="5" s="1"/>
  <c r="J84" i="5"/>
  <c r="J85" i="5" s="1"/>
  <c r="J86" i="5" s="1"/>
  <c r="J49" i="5"/>
  <c r="J53" i="5" s="1"/>
  <c r="J63" i="5" s="1"/>
  <c r="I42" i="5"/>
  <c r="D19" i="3"/>
  <c r="E8" i="2"/>
  <c r="D19" i="1"/>
  <c r="B34" i="1" l="1"/>
  <c r="C31" i="1"/>
  <c r="C33" i="1"/>
  <c r="J64" i="5"/>
  <c r="J65" i="5" s="1"/>
  <c r="I70" i="5"/>
  <c r="I72" i="5" s="1"/>
  <c r="I76" i="5" s="1"/>
  <c r="D20" i="1"/>
  <c r="D30" i="1"/>
  <c r="I87" i="5"/>
  <c r="K84" i="5"/>
  <c r="K85" i="5" s="1"/>
  <c r="K86" i="5" s="1"/>
  <c r="J42" i="5"/>
  <c r="K49" i="5"/>
  <c r="K53" i="5" s="1"/>
  <c r="K63" i="5" s="1"/>
  <c r="K64" i="5" l="1"/>
  <c r="J70" i="5"/>
  <c r="J72" i="5" s="1"/>
  <c r="J76" i="5" s="1"/>
  <c r="J87" i="5" s="1"/>
  <c r="B20" i="3"/>
  <c r="B22" i="3" s="1"/>
  <c r="C9" i="2"/>
  <c r="C34" i="1"/>
  <c r="K65" i="5"/>
  <c r="K70" i="5" s="1"/>
  <c r="K72" i="5" s="1"/>
  <c r="K76" i="5" s="1"/>
  <c r="K87" i="5" s="1"/>
  <c r="D31" i="1"/>
  <c r="D33" i="1"/>
  <c r="B35" i="1"/>
  <c r="B27" i="3" l="1"/>
  <c r="B28" i="3" s="1"/>
  <c r="B30" i="3" s="1"/>
  <c r="B36" i="1"/>
  <c r="C5" i="2"/>
  <c r="C10" i="2" s="1"/>
  <c r="C21" i="2" s="1"/>
  <c r="C23" i="2" s="1"/>
  <c r="C20" i="3"/>
  <c r="C22" i="3" s="1"/>
  <c r="D9" i="2"/>
  <c r="D34" i="1"/>
  <c r="D35" i="1"/>
  <c r="C35" i="1"/>
  <c r="D27" i="3" s="1"/>
  <c r="D28" i="3" s="1"/>
  <c r="C27" i="3" l="1"/>
  <c r="C28" i="3" s="1"/>
  <c r="C30" i="3" s="1"/>
  <c r="B5" i="3"/>
  <c r="B8" i="3" s="1"/>
  <c r="B15" i="3" s="1"/>
  <c r="B31" i="3" s="1"/>
  <c r="D22" i="2"/>
  <c r="D23" i="2" s="1"/>
  <c r="C36" i="1"/>
  <c r="D5" i="2"/>
  <c r="D10" i="2" s="1"/>
  <c r="D21" i="2" s="1"/>
  <c r="E5" i="2"/>
  <c r="E10" i="2" s="1"/>
  <c r="E21" i="2" s="1"/>
  <c r="D36" i="1"/>
  <c r="D20" i="3"/>
  <c r="D22" i="3" s="1"/>
  <c r="D30" i="3" s="1"/>
  <c r="E9" i="2"/>
  <c r="E22" i="2" l="1"/>
  <c r="E23" i="2" s="1"/>
  <c r="D5" i="3" s="1"/>
  <c r="D8" i="3" s="1"/>
  <c r="D15" i="3" s="1"/>
  <c r="D31" i="3" s="1"/>
  <c r="C5" i="3"/>
  <c r="C8" i="3" s="1"/>
  <c r="C15" i="3" s="1"/>
  <c r="C31" i="3" s="1"/>
</calcChain>
</file>

<file path=xl/sharedStrings.xml><?xml version="1.0" encoding="utf-8"?>
<sst xmlns="http://schemas.openxmlformats.org/spreadsheetml/2006/main" count="325" uniqueCount="247">
  <si>
    <t xml:space="preserve">Income Statemaent </t>
  </si>
  <si>
    <t>Revenue</t>
  </si>
  <si>
    <t>Total Revenue</t>
  </si>
  <si>
    <t>Cost Of Revenue</t>
  </si>
  <si>
    <t>Total Cost</t>
  </si>
  <si>
    <t>Grose Profit</t>
  </si>
  <si>
    <t>Gross Margin</t>
  </si>
  <si>
    <t>Operating Expenses</t>
  </si>
  <si>
    <t>Salaries &amp; Wages</t>
  </si>
  <si>
    <t>Indirect cost</t>
  </si>
  <si>
    <t>Technology Cost Assumptions</t>
  </si>
  <si>
    <t>Sales &amp; Marketing Expenses</t>
  </si>
  <si>
    <t>Depreciation</t>
  </si>
  <si>
    <t>Total Expenses</t>
  </si>
  <si>
    <t>EBIT</t>
  </si>
  <si>
    <t>Financial Health Metrics per Customer</t>
  </si>
  <si>
    <t>Items</t>
  </si>
  <si>
    <t>Revenue per Guest</t>
  </si>
  <si>
    <t>Revenue per Event</t>
  </si>
  <si>
    <t>Annual Recurring Revenue per Customer (ARR)</t>
  </si>
  <si>
    <t>Churn Rate</t>
  </si>
  <si>
    <t>Churned Customers</t>
  </si>
  <si>
    <t>New Customers Acquired</t>
  </si>
  <si>
    <t>CAC</t>
  </si>
  <si>
    <t>LTV</t>
  </si>
  <si>
    <t>LTV/CAC Ratio</t>
  </si>
  <si>
    <t xml:space="preserve">EBIT </t>
  </si>
  <si>
    <t>Cash Flow Statement</t>
  </si>
  <si>
    <t>Operating Activities</t>
  </si>
  <si>
    <t>Startup &amp; Operating Costs</t>
  </si>
  <si>
    <t>-</t>
  </si>
  <si>
    <t>Net Profit</t>
  </si>
  <si>
    <t>Change in Accounts Receivable</t>
  </si>
  <si>
    <t>Change in Accounts Payable</t>
  </si>
  <si>
    <t>Operating Cash Flow</t>
  </si>
  <si>
    <t>Investing Activities</t>
  </si>
  <si>
    <t>Purchase of Property, Plant &amp; Equipment (PP&amp;E)</t>
  </si>
  <si>
    <t>Investment in (Intangible Asset)</t>
  </si>
  <si>
    <t>Total Investing Activities</t>
  </si>
  <si>
    <t>Financing Activities</t>
  </si>
  <si>
    <t>Equity Injection</t>
  </si>
  <si>
    <t>Total Financing Activities</t>
  </si>
  <si>
    <t>Net Change in Cash During the Year</t>
  </si>
  <si>
    <t>Cash Balance at Beginning of Year</t>
  </si>
  <si>
    <t>Cumulative Cash Balance</t>
  </si>
  <si>
    <t>Balance Sheet</t>
  </si>
  <si>
    <t>Assets</t>
  </si>
  <si>
    <t>Cash</t>
  </si>
  <si>
    <t>Accounts Receivable</t>
  </si>
  <si>
    <t>Current Assets</t>
  </si>
  <si>
    <t>Furniture and Equipment</t>
  </si>
  <si>
    <t>Intangible Assets</t>
  </si>
  <si>
    <t>Non-Current Assets</t>
  </si>
  <si>
    <t xml:space="preserve">Total Assets </t>
  </si>
  <si>
    <t>Liabilities</t>
  </si>
  <si>
    <t>Accounts Payable</t>
  </si>
  <si>
    <t xml:space="preserve"> Total Liabilities</t>
  </si>
  <si>
    <t>Equity</t>
  </si>
  <si>
    <t>Paid-in Capital</t>
  </si>
  <si>
    <t>Accumulated Losses – Pre‑operating Phase</t>
  </si>
  <si>
    <t>Retained Earnings</t>
  </si>
  <si>
    <t>Total Equity</t>
  </si>
  <si>
    <t xml:space="preserve">Total Liabilities &amp; Equity </t>
  </si>
  <si>
    <t>Mudyaf — Income Statement | 2027–2029 (Base Case, SAR)</t>
  </si>
  <si>
    <t>Item</t>
  </si>
  <si>
    <t>2027</t>
  </si>
  <si>
    <t>2028</t>
  </si>
  <si>
    <t>2029</t>
  </si>
  <si>
    <t>REVENUE</t>
  </si>
  <si>
    <t xml:space="preserve">    Cars Commission</t>
  </si>
  <si>
    <t xml:space="preserve">    Tickets Commission</t>
  </si>
  <si>
    <t xml:space="preserve">    Hotels Commission</t>
  </si>
  <si>
    <t>COST OF REVENUE (Direct — Variable with Guests)</t>
  </si>
  <si>
    <t xml:space="preserve">    SMS / OTP</t>
  </si>
  <si>
    <t xml:space="preserve">    Email API</t>
  </si>
  <si>
    <t xml:space="preserve">    Maps API</t>
  </si>
  <si>
    <t xml:space="preserve">    AI API Usage</t>
  </si>
  <si>
    <t xml:space="preserve">    Translation AI</t>
  </si>
  <si>
    <t xml:space="preserve">    WhatsApp API</t>
  </si>
  <si>
    <t xml:space="preserve">    Storage</t>
  </si>
  <si>
    <t xml:space="preserve">    Push Notifications</t>
  </si>
  <si>
    <t xml:space="preserve">    CDN</t>
  </si>
  <si>
    <t>Total Cost of Revenue</t>
  </si>
  <si>
    <t>Gross Profit</t>
  </si>
  <si>
    <t>Gross Margin %</t>
  </si>
  <si>
    <t>OPERATING EXPENSES (Fixed)</t>
  </si>
  <si>
    <t xml:space="preserve">    Salaries &amp; Benefits (excl. GOSI)</t>
  </si>
  <si>
    <t xml:space="preserve">    GOSI — Social Insurance 11%</t>
  </si>
  <si>
    <t xml:space="preserve">    Indirect Costs</t>
  </si>
  <si>
    <t xml:space="preserve">    Technology Maintenance</t>
  </si>
  <si>
    <t xml:space="preserve">    Sales &amp; Marketing</t>
  </si>
  <si>
    <t>Total Operating Expenses</t>
  </si>
  <si>
    <t>EBITDA</t>
  </si>
  <si>
    <t>EBITDA Margin %</t>
  </si>
  <si>
    <t xml:space="preserve">    (-) Depreciation</t>
  </si>
  <si>
    <t xml:space="preserve">    (-) Zakat 2.5%</t>
  </si>
  <si>
    <t>Net Profit Margin %</t>
  </si>
  <si>
    <t>Note: Zakat calculated at 2.5% of EBIT (simplified). Actual Zakat base per ZATCA regulations may differ — consult a certified Zakat advisor. GOSI = 11% employer contribution (9% social insurance + 2% labor insurance) applied to all Saudi nationals.</t>
  </si>
  <si>
    <t>Note on Cloud Infrastructure &amp; Unit Economics: Cost of Revenue includes dynamic variable scaling per guest for WhatsApp API, SMS OTP, AI API usage (سيف ومنيره), and SCCC/TopNet Object Storage &amp; CDN. Fixed Operating Expenses include dedicated SCCC / TopNet High-Availability Kubernetes and PostgreSQL RDS database clusters.</t>
  </si>
  <si>
    <t>Mudyaf — Cash Flow Statement | 2026–2029 (SAR)</t>
  </si>
  <si>
    <t>Year</t>
  </si>
  <si>
    <t>2026</t>
  </si>
  <si>
    <t>OPERATING ACTIVITIES</t>
  </si>
  <si>
    <t>Pre-launch startup &amp; operating costs 2026</t>
  </si>
  <si>
    <t xml:space="preserve">    (+) Depreciation (non-cash add-back)</t>
  </si>
  <si>
    <t xml:space="preserve">    (-) Change in Accounts Receivable</t>
  </si>
  <si>
    <t xml:space="preserve">    (+) Change in Accounts Payable [CORRECTED: based on COR, not Revenue]</t>
  </si>
  <si>
    <t xml:space="preserve">    (+) Change in Zakat Payable</t>
  </si>
  <si>
    <t>INVESTING ACTIVITIES</t>
  </si>
  <si>
    <t xml:space="preserve">    Purchase of PP&amp;E (Furniture + Devices)</t>
  </si>
  <si>
    <t xml:space="preserve">    Investment in Intangible Assets (Platform + AI Dev)</t>
  </si>
  <si>
    <t>Investing Cash Flow</t>
  </si>
  <si>
    <t>FINANCING ACTIVITIES</t>
  </si>
  <si>
    <t xml:space="preserve">    Equity Injection from Investor</t>
  </si>
  <si>
    <t>Financing Cash Flow</t>
  </si>
  <si>
    <t>Net Change in Cash</t>
  </si>
  <si>
    <t>Opening Cash Balance</t>
  </si>
  <si>
    <t>0</t>
  </si>
  <si>
    <t>Closing Cash Balance</t>
  </si>
  <si>
    <t>CORRECTION APPLIED: The original model used Revenue as the AP base, creating a ~988K SAR error per year in cash flow and balance sheet imbalance. AP change is now correctly calculated on Cost of Revenue (direct costs). Additionally, Retained Earnings is now cumulative across years, fixing the balance sheet balance.</t>
  </si>
  <si>
    <t>Mudyaf — Balance Sheet (Statement of Financial Position) | 2027–2029 (SAR)</t>
  </si>
  <si>
    <t>ASSETS</t>
  </si>
  <si>
    <t xml:space="preserve">  Current Assets</t>
  </si>
  <si>
    <t xml:space="preserve">    Cash &amp; Cash Equivalents</t>
  </si>
  <si>
    <t xml:space="preserve">    Accounts Receivable</t>
  </si>
  <si>
    <t xml:space="preserve">    VAT Receivable (collected not yet remitted to ZATCA)</t>
  </si>
  <si>
    <t>Total Current Assets</t>
  </si>
  <si>
    <t xml:space="preserve">  Non-Current Assets</t>
  </si>
  <si>
    <t xml:space="preserve">    PP&amp;E Net (Furniture &amp; Devices)</t>
  </si>
  <si>
    <t xml:space="preserve">    Intangible Assets Net (Platform + AI)</t>
  </si>
  <si>
    <t>Total Non-Current Assets</t>
  </si>
  <si>
    <t>TOTAL ASSETS</t>
  </si>
  <si>
    <t>LIABILITIES</t>
  </si>
  <si>
    <t xml:space="preserve">  Current Liabilities</t>
  </si>
  <si>
    <t xml:space="preserve">    Accounts Payable</t>
  </si>
  <si>
    <t xml:space="preserve">    Zakat Payable</t>
  </si>
  <si>
    <t xml:space="preserve">    VAT Payable (1-month estimate)</t>
  </si>
  <si>
    <t>Total Liabilities</t>
  </si>
  <si>
    <t>EQUITY</t>
  </si>
  <si>
    <t xml:space="preserve">    Paid-in Capital</t>
  </si>
  <si>
    <t xml:space="preserve">    Accumulated Losses — Pre-operating Phase</t>
  </si>
  <si>
    <t xml:space="preserve">    Retained Earnings (Cumulative) [CORRECTED]</t>
  </si>
  <si>
    <t>TOTAL LIABILITIES + EQUITY</t>
  </si>
  <si>
    <t>✓ Balance Check (must be 0)</t>
  </si>
  <si>
    <t>TWO CORRECTIONS APPLIED: (1) Retained Earnings is now cumulative (sum of all prior net profits), fixing the year-over-year equity rollforward. (2) AP base changed from Revenue to Cost of Revenue — AP represents what we OWE to tech vendors/API providers, which scales with direct costs, not total revenue. (3) Added VAT Payable as a liability (1 month of revenue × 15% VAT rate).</t>
  </si>
  <si>
    <t xml:space="preserve">                  Assumptions</t>
  </si>
  <si>
    <t>From here, you select the scenario whose numbers you want to use.</t>
  </si>
  <si>
    <t>Driver Switch</t>
  </si>
  <si>
    <t>Here we estimate the number of events and the number of guests</t>
  </si>
  <si>
    <t>NO. Campanies</t>
  </si>
  <si>
    <t>Best Case</t>
  </si>
  <si>
    <t>Base Case</t>
  </si>
  <si>
    <t>Worst Case</t>
  </si>
  <si>
    <t>NO. Events</t>
  </si>
  <si>
    <t>Event</t>
  </si>
  <si>
    <t>NO. Guests</t>
  </si>
  <si>
    <t>Total Expected Guests</t>
  </si>
  <si>
    <t>NO. Guests In Project</t>
  </si>
  <si>
    <t>Totel Of Guests</t>
  </si>
  <si>
    <t>Here we will estimate the app’s revenue from each event.</t>
  </si>
  <si>
    <t>Cars</t>
  </si>
  <si>
    <t>Tickit</t>
  </si>
  <si>
    <t>Hotels</t>
  </si>
  <si>
    <t>Commission rates by scenario</t>
  </si>
  <si>
    <t>cars</t>
  </si>
  <si>
    <t xml:space="preserve">Event volume </t>
  </si>
  <si>
    <t>Total revenue</t>
  </si>
  <si>
    <t>Here we will estimate the project cost</t>
  </si>
  <si>
    <t>The cost of building the technical system</t>
  </si>
  <si>
    <t>The scenario</t>
  </si>
  <si>
    <t>The cost of building the system</t>
  </si>
  <si>
    <t>The cost of building the AI system</t>
  </si>
  <si>
    <t>The cost of building the system according to the scenario</t>
  </si>
  <si>
    <t>Total</t>
  </si>
  <si>
    <t>The cost of building the AI system according to the scenario</t>
  </si>
  <si>
    <t>SALARES</t>
  </si>
  <si>
    <t>Position</t>
  </si>
  <si>
    <t>Core Responsibilities</t>
  </si>
  <si>
    <t>CEO / Founder</t>
  </si>
  <si>
    <t>General leadership, investment, partnerships, and expansion</t>
  </si>
  <si>
    <t>Product Owner</t>
  </si>
  <si>
    <t>Product management, requirements definition, and managing development and AI vendors</t>
  </si>
  <si>
    <t>Business Development Manager</t>
  </si>
  <si>
    <t>Sales, partnerships, and acquiring event organizers</t>
  </si>
  <si>
    <t>Customer Support Specialist</t>
  </si>
  <si>
    <t>Customer and guest support and issue resolution</t>
  </si>
  <si>
    <t>Technical Product Manager</t>
  </si>
  <si>
    <t>Operations management, quality control, and performance indicators</t>
  </si>
  <si>
    <t>Accountant</t>
  </si>
  <si>
    <t>Accounting, financial reporting, zakat, and taxation</t>
  </si>
  <si>
    <t>Marketing Specialist</t>
  </si>
  <si>
    <t>Digital marketing, campaign management, and brand management</t>
  </si>
  <si>
    <t>Monthly Total</t>
  </si>
  <si>
    <t>Annual Total</t>
  </si>
  <si>
    <t xml:space="preserve">Direct costs </t>
  </si>
  <si>
    <t xml:space="preserve">  Cost per customer</t>
  </si>
  <si>
    <t>SMS / OTP Verification API (Taqnyat/Unifonic)</t>
  </si>
  <si>
    <t>Email API</t>
  </si>
  <si>
    <t>Maps API</t>
  </si>
  <si>
    <t>AI API Usage</t>
  </si>
  <si>
    <t>Translation AI</t>
  </si>
  <si>
    <t>WhatsApp Business API &amp; Bot Messaging (Meta/Twilio)</t>
  </si>
  <si>
    <t>SCCC / TopNet Cloud Storage (OSS &amp; Media Files per guest)</t>
  </si>
  <si>
    <t>Push Notifications</t>
  </si>
  <si>
    <t>Cloud CDN &amp; Edge Bandwidth (SCCC / TopNet Edge)</t>
  </si>
  <si>
    <t>Office Rent</t>
  </si>
  <si>
    <t>Internet &amp; Telecom</t>
  </si>
  <si>
    <t>Utilities</t>
  </si>
  <si>
    <t>Office Supplies</t>
  </si>
  <si>
    <t>Productivity Software (Microsoft, Google, Zoom, Notion etc.)</t>
  </si>
  <si>
    <t>Cloud Hosting &amp; Infrastructure (SCCC / TopNet Multi-AZ)</t>
  </si>
  <si>
    <t>Monitoring &amp; Analytics Tools</t>
  </si>
  <si>
    <t>Backup &amp; Disaster Recovery</t>
  </si>
  <si>
    <t>Security Audit</t>
  </si>
  <si>
    <t>Penetration Testing</t>
  </si>
  <si>
    <t>Legal Retainer</t>
  </si>
  <si>
    <t>External Audit</t>
  </si>
  <si>
    <t>PDPL / Data Protection Consultant</t>
  </si>
  <si>
    <t>Insurance</t>
  </si>
  <si>
    <t>Recruitment &amp; Hiring Cost</t>
  </si>
  <si>
    <t>System Maintenance Contract</t>
  </si>
  <si>
    <t>AI Maintenance Contract</t>
  </si>
  <si>
    <t>Change Requests &amp; Enhancements</t>
  </si>
  <si>
    <t>total</t>
  </si>
  <si>
    <t>Sales &amp; Marketing</t>
  </si>
  <si>
    <t>Digital Marketing</t>
  </si>
  <si>
    <t>CRM</t>
  </si>
  <si>
    <t>Travel &amp; Meetings</t>
  </si>
  <si>
    <t>Conferences &amp; Exhibitions</t>
  </si>
  <si>
    <t>Vendor Acquisition</t>
  </si>
  <si>
    <t>Launch / Partner Events</t>
  </si>
  <si>
    <t>Furniture DEP</t>
  </si>
  <si>
    <t>Laptops DEP</t>
  </si>
  <si>
    <t>Application Depreciation</t>
  </si>
  <si>
    <t>AI System Depreciation</t>
  </si>
  <si>
    <t xml:space="preserve">Total </t>
  </si>
  <si>
    <t>Property, Plant &amp; Equipment (PP&amp;E)</t>
  </si>
  <si>
    <t>Furniture &amp; Fixtures</t>
  </si>
  <si>
    <t>Laptops &amp; Devices</t>
  </si>
  <si>
    <t>Working Capital, Value-Added Tax (VAT), and Capital Structure</t>
  </si>
  <si>
    <t xml:space="preserve">VAT </t>
  </si>
  <si>
    <t xml:space="preserve">AR Days </t>
  </si>
  <si>
    <t xml:space="preserve">AP Days </t>
  </si>
  <si>
    <t xml:space="preserve"> Investment &amp; Use of Funds</t>
  </si>
  <si>
    <t>Direct costs ( PP&amp;E)</t>
  </si>
  <si>
    <t>Working Capital to Cover Operations (12 Months)</t>
  </si>
  <si>
    <t>Liquidity 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</si>
</sst>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quot; SAR&quot;;\(#,##0&quot;) SAR&quot;;\-"/>
    <numFmt numFmtId="165" formatCode="0.0%"/>
    <numFmt numFmtId="166" formatCode="#,##0;\(#,##0\);[Green]&quot;- OK&quot;"/>
    <numFmt numFmtId="167" formatCode="_(* #,##0_);_(* \(#,##0\);_(* \-??_);_(@_)"/>
    <numFmt numFmtId="168" formatCode="_(* #,##0_);_(* \(#,##0\);_(* \-?_);_(@_)"/>
    <numFmt numFmtId="169" formatCode="#,##0.0"/>
    <numFmt numFmtId="170" formatCode="_(* #,##0.00_);_(* \(#,##0.00\);_(* \-??_);_(@_)"/>
  </numFmts>
  <fonts count="29" x14ac:knownFonts="1">
    <font>
      <sz val="11"/>
      <color theme="1"/>
      <name val="Calibri"/>
      <family val="2"/>
      <charset val="1"/>
    </font>
    <font>
      <b/>
      <sz val="14"/>
      <color rgb="FFBF9B30"/>
      <name val="Arial"/>
      <charset val="1"/>
    </font>
    <font>
      <b/>
      <sz val="10"/>
      <color rgb="FFFFFFFF"/>
      <name val="Arial"/>
      <charset val="1"/>
    </font>
    <font>
      <b/>
      <sz val="11"/>
      <color rgb="FFFFFFFF"/>
      <name val="Arial"/>
      <charset val="1"/>
    </font>
    <font>
      <sz val="10"/>
      <color rgb="FF000000"/>
      <name val="Arial"/>
      <charset val="1"/>
    </font>
    <font>
      <b/>
      <sz val="10"/>
      <color rgb="FF0054A6"/>
      <name val="Arial"/>
      <charset val="1"/>
    </font>
    <font>
      <b/>
      <sz val="10"/>
      <color rgb="FF006400"/>
      <name val="Arial"/>
      <charset val="1"/>
    </font>
    <font>
      <sz val="10"/>
      <color rgb="FF006400"/>
      <name val="Arial"/>
      <charset val="1"/>
    </font>
    <font>
      <b/>
      <sz val="10"/>
      <color rgb="FFBF9B30"/>
      <name val="Arial"/>
      <charset val="1"/>
    </font>
    <font>
      <sz val="10"/>
      <color rgb="FF0054A6"/>
      <name val="Arial"/>
      <charset val="1"/>
    </font>
    <font>
      <sz val="10"/>
      <color rgb="FFC00000"/>
      <name val="Arial"/>
      <charset val="1"/>
    </font>
    <font>
      <i/>
      <sz val="9"/>
      <color rgb="FF7F6000"/>
      <name val="Arial"/>
      <charset val="1"/>
    </font>
    <font>
      <sz val="10"/>
      <color rgb="FF7F6000"/>
      <name val="Arial"/>
      <charset val="1"/>
    </font>
    <font>
      <b/>
      <sz val="11"/>
      <color rgb="FF002060"/>
      <name val="Calibri"/>
      <family val="2"/>
      <charset val="1"/>
    </font>
    <font>
      <b/>
      <sz val="16"/>
      <color theme="1"/>
      <name val="Calibri"/>
      <family val="2"/>
      <charset val="1"/>
    </font>
    <font>
      <b/>
      <sz val="16"/>
      <name val="Calibri"/>
      <family val="2"/>
      <charset val="1"/>
    </font>
    <font>
      <b/>
      <sz val="11"/>
      <color theme="1"/>
      <name val="Calibri"/>
      <family val="2"/>
      <charset val="1"/>
    </font>
    <font>
      <sz val="11"/>
      <color theme="3" tint="0.39988402966399123"/>
      <name val="Calibri"/>
      <family val="2"/>
      <charset val="1"/>
    </font>
    <font>
      <b/>
      <sz val="11"/>
      <color theme="3" tint="0.39988402966399123"/>
      <name val="Calibri"/>
      <family val="2"/>
      <charset val="1"/>
    </font>
    <font>
      <b/>
      <sz val="11"/>
      <name val="Calibri"/>
      <family val="2"/>
      <charset val="1"/>
    </font>
    <font>
      <b/>
      <sz val="22"/>
      <name val="Calibri"/>
      <family val="2"/>
      <charset val="1"/>
    </font>
    <font>
      <sz val="16"/>
      <color theme="1"/>
      <name val="Calibri"/>
      <family val="2"/>
      <charset val="1"/>
    </font>
    <font>
      <sz val="16"/>
      <name val="Calibri"/>
      <family val="2"/>
      <charset val="1"/>
    </font>
    <font>
      <sz val="9"/>
      <name val="Arial"/>
      <family val="2"/>
      <charset val="1"/>
    </font>
    <font>
      <sz val="11"/>
      <name val="Calibri"/>
      <family val="2"/>
      <charset val="1"/>
    </font>
    <font>
      <sz val="16"/>
      <color theme="3" tint="0.39988402966399123"/>
      <name val="Calibri"/>
      <family val="2"/>
      <charset val="1"/>
    </font>
    <font>
      <sz val="11"/>
      <color theme="1"/>
      <name val="Calibri"/>
      <family val="2"/>
      <charset val="1"/>
    </font>
    <font>
      <sz val="11"/>
      <color theme="0"/>
      <name val="Calibri"/>
      <family val="2"/>
      <charset val="1"/>
    </font>
    <font>
      <i/>
      <sz val="9"/>
      <color rgb="FF555555"/>
      <name val="Calibri"/>
    </font>
  </fonts>
  <fills count="18">
    <fill>
      <patternFill patternType="none"/>
    </fill>
    <fill>
      <patternFill patternType="gray125"/>
    </fill>
    <fill>
      <patternFill patternType="solid">
        <fgColor rgb="FF0D1F41"/>
        <bgColor rgb="FF002060"/>
      </patternFill>
    </fill>
    <fill>
      <patternFill patternType="solid">
        <fgColor rgb="FF0054A6"/>
        <bgColor rgb="FF28508C"/>
      </patternFill>
    </fill>
    <fill>
      <patternFill patternType="solid">
        <fgColor rgb="FFF7FAFF"/>
        <bgColor rgb="FFFFFFFF"/>
      </patternFill>
    </fill>
    <fill>
      <patternFill patternType="solid">
        <fgColor rgb="FFFFFFFF"/>
        <bgColor rgb="FFF7FAFF"/>
      </patternFill>
    </fill>
    <fill>
      <patternFill patternType="solid">
        <fgColor rgb="FFEBF2FC"/>
        <bgColor rgb="FFF7FAFF"/>
      </patternFill>
    </fill>
    <fill>
      <patternFill patternType="solid">
        <fgColor rgb="FFDCE6F5"/>
        <bgColor rgb="FFD9EAD3"/>
      </patternFill>
    </fill>
    <fill>
      <patternFill patternType="solid">
        <fgColor rgb="FFD9EAD3"/>
        <bgColor rgb="FFDCE6F5"/>
      </patternFill>
    </fill>
    <fill>
      <patternFill patternType="solid">
        <fgColor rgb="FFFFE0E0"/>
        <bgColor rgb="FFFFF2CC"/>
      </patternFill>
    </fill>
    <fill>
      <patternFill patternType="solid">
        <fgColor rgb="FFFFF2CC"/>
        <bgColor rgb="FFFFE0E0"/>
      </patternFill>
    </fill>
    <fill>
      <patternFill patternType="solid">
        <fgColor rgb="FF28508C"/>
        <bgColor rgb="FF0054A6"/>
      </patternFill>
    </fill>
    <fill>
      <patternFill patternType="solid">
        <fgColor rgb="FF1B0240"/>
        <bgColor rgb="FF0D1F41"/>
      </patternFill>
    </fill>
    <fill>
      <patternFill patternType="solid">
        <fgColor theme="0" tint="-0.249977111117893"/>
        <bgColor rgb="FFCCCCCC"/>
      </patternFill>
    </fill>
    <fill>
      <patternFill patternType="solid">
        <fgColor theme="8" tint="0.39988402966399123"/>
        <bgColor rgb="FF95B3D7"/>
      </patternFill>
    </fill>
    <fill>
      <patternFill patternType="solid">
        <fgColor theme="3" tint="0.39988402966399123"/>
        <bgColor rgb="FF808080"/>
      </patternFill>
    </fill>
    <fill>
      <patternFill patternType="solid">
        <fgColor theme="4" tint="0.59987182226020086"/>
        <bgColor rgb="FFCCCCCC"/>
      </patternFill>
    </fill>
    <fill>
      <patternFill patternType="solid">
        <fgColor theme="4" tint="0.39988402966399123"/>
        <bgColor rgb="FF93CDDD"/>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right/>
      <top style="thin">
        <color rgb="FFCCCCCC"/>
      </top>
      <bottom style="thin">
        <color rgb="FFCCCCCC"/>
      </bottom>
      <diagonal/>
    </border>
  </borders>
  <cellStyleXfs count="3">
    <xf numFmtId="0" fontId="0" fillId="0" borderId="0"/>
    <xf numFmtId="170" fontId="26" fillId="0" borderId="0"/>
    <xf numFmtId="9" fontId="26" fillId="0" borderId="0"/>
  </cellStyleXfs>
  <cellXfs count="150">
    <xf numFmtId="0" fontId="0" fillId="0" borderId="0" xfId="0"/>
    <xf numFmtId="0" fontId="14" fillId="0" borderId="0" xfId="0" applyFont="1" applyAlignment="1">
      <alignment horizontal="left"/>
    </xf>
    <xf numFmtId="0" fontId="14" fillId="13" borderId="0" xfId="0" applyFont="1" applyFill="1" applyAlignment="1">
      <alignment horizontal="left"/>
    </xf>
    <xf numFmtId="0" fontId="2" fillId="2" borderId="1" xfId="0" applyFont="1" applyFill="1" applyBorder="1" applyAlignment="1">
      <alignment horizontal="center" vertical="center"/>
    </xf>
    <xf numFmtId="0" fontId="4" fillId="4" borderId="1" xfId="0" applyFont="1" applyFill="1" applyBorder="1" applyAlignment="1">
      <alignment horizontal="right" vertical="center"/>
    </xf>
    <xf numFmtId="164" fontId="4" fillId="4" borderId="1" xfId="0" applyNumberFormat="1" applyFont="1" applyFill="1" applyBorder="1" applyAlignment="1">
      <alignment horizontal="center" vertical="center"/>
    </xf>
    <xf numFmtId="0" fontId="4" fillId="5" borderId="1" xfId="0" applyFont="1" applyFill="1" applyBorder="1" applyAlignment="1">
      <alignment horizontal="right" vertical="center"/>
    </xf>
    <xf numFmtId="164" fontId="4" fillId="5" borderId="1" xfId="0" applyNumberFormat="1" applyFont="1" applyFill="1" applyBorder="1" applyAlignment="1">
      <alignment horizontal="center" vertical="center"/>
    </xf>
    <xf numFmtId="0" fontId="5" fillId="6" borderId="1" xfId="0" applyFont="1" applyFill="1" applyBorder="1" applyAlignment="1">
      <alignment horizontal="right" vertical="center"/>
    </xf>
    <xf numFmtId="164" fontId="5" fillId="6" borderId="1" xfId="0" applyNumberFormat="1" applyFont="1" applyFill="1" applyBorder="1" applyAlignment="1">
      <alignment horizontal="center" vertical="center"/>
    </xf>
    <xf numFmtId="0" fontId="5" fillId="7" borderId="1" xfId="0" applyFont="1" applyFill="1" applyBorder="1" applyAlignment="1">
      <alignment horizontal="right" vertical="center"/>
    </xf>
    <xf numFmtId="164" fontId="5" fillId="7" borderId="1" xfId="0" applyNumberFormat="1" applyFont="1" applyFill="1" applyBorder="1" applyAlignment="1">
      <alignment horizontal="center" vertical="center"/>
    </xf>
    <xf numFmtId="0" fontId="6" fillId="8" borderId="1" xfId="0" applyFont="1" applyFill="1" applyBorder="1" applyAlignment="1">
      <alignment horizontal="right" vertical="center"/>
    </xf>
    <xf numFmtId="164" fontId="6" fillId="8" borderId="1" xfId="0" applyNumberFormat="1" applyFont="1" applyFill="1" applyBorder="1" applyAlignment="1">
      <alignment horizontal="center" vertical="center"/>
    </xf>
    <xf numFmtId="0" fontId="7" fillId="8" borderId="1" xfId="0" applyFont="1" applyFill="1" applyBorder="1" applyAlignment="1">
      <alignment horizontal="right" vertical="center"/>
    </xf>
    <xf numFmtId="165" fontId="7" fillId="8" borderId="1" xfId="0" applyNumberFormat="1" applyFont="1" applyFill="1" applyBorder="1" applyAlignment="1">
      <alignment horizontal="center" vertical="center"/>
    </xf>
    <xf numFmtId="0" fontId="8" fillId="2" borderId="1" xfId="0" applyFont="1" applyFill="1" applyBorder="1" applyAlignment="1">
      <alignment horizontal="right" vertical="center"/>
    </xf>
    <xf numFmtId="164" fontId="8" fillId="2" borderId="1" xfId="0" applyNumberFormat="1" applyFont="1" applyFill="1" applyBorder="1" applyAlignment="1">
      <alignment horizontal="center" vertical="center"/>
    </xf>
    <xf numFmtId="0" fontId="9" fillId="6" borderId="1" xfId="0" applyFont="1" applyFill="1" applyBorder="1" applyAlignment="1">
      <alignment horizontal="right" vertical="center"/>
    </xf>
    <xf numFmtId="165" fontId="9" fillId="6" borderId="1" xfId="0" applyNumberFormat="1" applyFont="1" applyFill="1" applyBorder="1" applyAlignment="1">
      <alignment horizontal="center" vertical="center"/>
    </xf>
    <xf numFmtId="0" fontId="10" fillId="9" borderId="1" xfId="0" applyFont="1" applyFill="1" applyBorder="1" applyAlignment="1">
      <alignment horizontal="right" vertical="center"/>
    </xf>
    <xf numFmtId="164" fontId="10" fillId="9" borderId="1" xfId="0" applyNumberFormat="1" applyFont="1" applyFill="1" applyBorder="1" applyAlignment="1">
      <alignment horizontal="center" vertical="center"/>
    </xf>
    <xf numFmtId="0" fontId="2" fillId="2" borderId="1" xfId="0" applyFont="1" applyFill="1" applyBorder="1"/>
    <xf numFmtId="0" fontId="10" fillId="4" borderId="1" xfId="0" applyFont="1" applyFill="1" applyBorder="1" applyAlignment="1">
      <alignment horizontal="right" vertical="center"/>
    </xf>
    <xf numFmtId="164" fontId="10" fillId="4" borderId="1" xfId="0" applyNumberFormat="1" applyFont="1" applyFill="1" applyBorder="1" applyAlignment="1">
      <alignment horizontal="center" vertical="center"/>
    </xf>
    <xf numFmtId="0" fontId="10" fillId="5" borderId="1" xfId="0" applyFont="1" applyFill="1" applyBorder="1" applyAlignment="1">
      <alignment horizontal="right" vertical="center"/>
    </xf>
    <xf numFmtId="164" fontId="10" fillId="5" borderId="1" xfId="0" applyNumberFormat="1" applyFont="1" applyFill="1" applyBorder="1" applyAlignment="1">
      <alignment horizontal="center" vertical="center"/>
    </xf>
    <xf numFmtId="164" fontId="7" fillId="8" borderId="1" xfId="0" applyNumberFormat="1" applyFont="1" applyFill="1" applyBorder="1" applyAlignment="1">
      <alignment horizontal="center" vertical="center"/>
    </xf>
    <xf numFmtId="164" fontId="9" fillId="6" borderId="1" xfId="0" applyNumberFormat="1" applyFont="1" applyFill="1" applyBorder="1" applyAlignment="1">
      <alignment horizontal="center" vertical="center"/>
    </xf>
    <xf numFmtId="0" fontId="12" fillId="10" borderId="1" xfId="0" applyFont="1" applyFill="1" applyBorder="1" applyAlignment="1">
      <alignment horizontal="right" vertical="center"/>
    </xf>
    <xf numFmtId="166" fontId="12" fillId="10" borderId="1" xfId="0" applyNumberFormat="1" applyFont="1" applyFill="1" applyBorder="1" applyAlignment="1">
      <alignment horizontal="center" vertical="center"/>
    </xf>
    <xf numFmtId="0" fontId="0" fillId="13" borderId="0" xfId="0" applyFill="1" applyAlignment="1">
      <alignment horizontal="center"/>
    </xf>
    <xf numFmtId="0" fontId="14" fillId="13" borderId="3" xfId="0" applyFont="1" applyFill="1" applyBorder="1" applyAlignment="1">
      <alignment horizontal="center"/>
    </xf>
    <xf numFmtId="0" fontId="0" fillId="13" borderId="4" xfId="0" applyFill="1" applyBorder="1" applyAlignment="1">
      <alignment horizontal="center"/>
    </xf>
    <xf numFmtId="0" fontId="0" fillId="0" borderId="0" xfId="0" applyAlignment="1">
      <alignment horizontal="left" vertical="center"/>
    </xf>
    <xf numFmtId="0" fontId="16" fillId="0" borderId="0" xfId="0" applyFont="1" applyAlignment="1">
      <alignment horizontal="center" vertical="center"/>
    </xf>
    <xf numFmtId="0" fontId="17" fillId="0" borderId="0" xfId="0" applyFont="1"/>
    <xf numFmtId="0" fontId="0" fillId="0" borderId="0" xfId="0" applyAlignment="1">
      <alignment horizontal="center" vertical="center"/>
    </xf>
    <xf numFmtId="0" fontId="0" fillId="13" borderId="0" xfId="0" applyFill="1"/>
    <xf numFmtId="0" fontId="16" fillId="0" borderId="0" xfId="0" applyFont="1" applyAlignment="1">
      <alignment horizontal="center"/>
    </xf>
    <xf numFmtId="0" fontId="17" fillId="0" borderId="0" xfId="0" applyFont="1" applyAlignment="1">
      <alignment horizontal="center"/>
    </xf>
    <xf numFmtId="0" fontId="0" fillId="0" borderId="0" xfId="0" applyAlignment="1">
      <alignment horizontal="center"/>
    </xf>
    <xf numFmtId="167" fontId="26" fillId="13" borderId="0" xfId="1" applyNumberFormat="1" applyFill="1" applyAlignment="1">
      <alignment horizontal="center"/>
    </xf>
    <xf numFmtId="0" fontId="17" fillId="0" borderId="0" xfId="0" applyFont="1" applyAlignment="1">
      <alignment horizontal="right"/>
    </xf>
    <xf numFmtId="167" fontId="26" fillId="0" borderId="0" xfId="1" applyNumberFormat="1" applyAlignment="1">
      <alignment horizontal="left" vertical="top"/>
    </xf>
    <xf numFmtId="167" fontId="0" fillId="0" borderId="0" xfId="0" applyNumberFormat="1"/>
    <xf numFmtId="0" fontId="16" fillId="13" borderId="5" xfId="0" applyFont="1" applyFill="1" applyBorder="1" applyAlignment="1">
      <alignment horizontal="center"/>
    </xf>
    <xf numFmtId="0" fontId="14" fillId="0" borderId="0" xfId="0" applyFont="1"/>
    <xf numFmtId="9" fontId="16" fillId="13" borderId="5" xfId="0" applyNumberFormat="1" applyFont="1" applyFill="1" applyBorder="1" applyAlignment="1">
      <alignment horizontal="center"/>
    </xf>
    <xf numFmtId="0" fontId="16" fillId="0" borderId="0" xfId="0" applyFont="1"/>
    <xf numFmtId="0" fontId="18" fillId="0" borderId="0" xfId="0" applyFont="1"/>
    <xf numFmtId="0" fontId="19" fillId="13" borderId="0" xfId="0" applyFont="1" applyFill="1" applyAlignment="1">
      <alignment horizontal="center" vertical="center"/>
    </xf>
    <xf numFmtId="167" fontId="26" fillId="0" borderId="0" xfId="1" applyNumberFormat="1" applyAlignment="1">
      <alignment horizontal="center" vertical="center"/>
    </xf>
    <xf numFmtId="167" fontId="0" fillId="0" borderId="0" xfId="0" applyNumberFormat="1" applyAlignment="1">
      <alignment horizontal="center" vertical="center"/>
    </xf>
    <xf numFmtId="0" fontId="17" fillId="0" borderId="0" xfId="0" applyFont="1" applyAlignment="1">
      <alignment horizontal="center" vertical="center"/>
    </xf>
    <xf numFmtId="168" fontId="0" fillId="0" borderId="0" xfId="0" applyNumberFormat="1" applyAlignment="1">
      <alignment horizontal="center" vertical="center"/>
    </xf>
    <xf numFmtId="0" fontId="16" fillId="13" borderId="0" xfId="0" applyFont="1" applyFill="1"/>
    <xf numFmtId="167" fontId="26" fillId="13" borderId="0" xfId="1" applyNumberFormat="1" applyFill="1" applyAlignment="1">
      <alignment horizontal="center" vertical="center"/>
    </xf>
    <xf numFmtId="168" fontId="0" fillId="0" borderId="0" xfId="0" applyNumberFormat="1"/>
    <xf numFmtId="0" fontId="14" fillId="5" borderId="0" xfId="0" applyFont="1" applyFill="1" applyAlignment="1">
      <alignment horizontal="left"/>
    </xf>
    <xf numFmtId="0" fontId="0" fillId="5" borderId="0" xfId="0" applyFill="1"/>
    <xf numFmtId="0" fontId="15" fillId="0" borderId="0" xfId="0" applyFont="1" applyAlignment="1">
      <alignment horizontal="left"/>
    </xf>
    <xf numFmtId="0" fontId="20" fillId="0" borderId="0" xfId="0" applyFont="1" applyAlignment="1">
      <alignment horizontal="left"/>
    </xf>
    <xf numFmtId="167" fontId="26" fillId="0" borderId="0" xfId="1" applyNumberFormat="1"/>
    <xf numFmtId="167" fontId="17" fillId="0" borderId="0" xfId="1" applyNumberFormat="1" applyFont="1"/>
    <xf numFmtId="0" fontId="19" fillId="0" borderId="0" xfId="0" applyFont="1"/>
    <xf numFmtId="0" fontId="19" fillId="13" borderId="0" xfId="0" applyFont="1" applyFill="1"/>
    <xf numFmtId="0" fontId="17" fillId="13" borderId="0" xfId="0" applyFont="1" applyFill="1"/>
    <xf numFmtId="167" fontId="17" fillId="13" borderId="0" xfId="1" applyNumberFormat="1" applyFont="1" applyFill="1"/>
    <xf numFmtId="0" fontId="16" fillId="13" borderId="0" xfId="0" applyFont="1" applyFill="1" applyAlignment="1">
      <alignment horizontal="center"/>
    </xf>
    <xf numFmtId="167" fontId="0" fillId="13" borderId="0" xfId="0" applyNumberFormat="1" applyFill="1"/>
    <xf numFmtId="0" fontId="16" fillId="13" borderId="6" xfId="0" applyFont="1" applyFill="1" applyBorder="1"/>
    <xf numFmtId="0" fontId="0" fillId="13" borderId="6" xfId="0" applyFill="1" applyBorder="1"/>
    <xf numFmtId="167" fontId="17" fillId="13" borderId="6" xfId="1" applyNumberFormat="1" applyFont="1" applyFill="1" applyBorder="1"/>
    <xf numFmtId="0" fontId="14" fillId="13" borderId="0" xfId="0" applyFont="1" applyFill="1"/>
    <xf numFmtId="0" fontId="14" fillId="13" borderId="0" xfId="0" applyFont="1" applyFill="1" applyAlignment="1">
      <alignment horizontal="center"/>
    </xf>
    <xf numFmtId="0" fontId="16" fillId="13" borderId="0" xfId="0" applyFont="1" applyFill="1" applyAlignment="1">
      <alignment horizontal="right"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0" fillId="0" borderId="0" xfId="0" applyAlignment="1">
      <alignment horizontal="right" vertical="center" wrapText="1"/>
    </xf>
    <xf numFmtId="167" fontId="26" fillId="0" borderId="0" xfId="1" applyNumberFormat="1" applyAlignment="1">
      <alignment horizontal="right" vertical="center" wrapText="1"/>
    </xf>
    <xf numFmtId="3" fontId="0" fillId="0" borderId="0" xfId="0" applyNumberFormat="1"/>
    <xf numFmtId="167" fontId="26" fillId="13" borderId="0" xfId="1" applyNumberFormat="1" applyFill="1"/>
    <xf numFmtId="0" fontId="21" fillId="13" borderId="0" xfId="0" applyFont="1" applyFill="1"/>
    <xf numFmtId="0" fontId="16" fillId="0" borderId="0" xfId="0" applyFont="1" applyAlignment="1">
      <alignment horizontal="center" vertical="center" wrapText="1"/>
    </xf>
    <xf numFmtId="0" fontId="16" fillId="0" borderId="0" xfId="0" applyFont="1" applyAlignment="1">
      <alignment horizontal="right" vertical="center" wrapText="1"/>
    </xf>
    <xf numFmtId="0" fontId="16" fillId="0" borderId="0" xfId="0" applyFont="1" applyAlignment="1">
      <alignment vertical="center" wrapText="1"/>
    </xf>
    <xf numFmtId="3" fontId="16" fillId="0" borderId="0" xfId="0" applyNumberFormat="1" applyFont="1" applyAlignment="1">
      <alignment horizontal="right" vertical="center" wrapText="1"/>
    </xf>
    <xf numFmtId="167" fontId="19" fillId="0" borderId="0" xfId="1" applyNumberFormat="1" applyFont="1"/>
    <xf numFmtId="0" fontId="15" fillId="13" borderId="0" xfId="0" applyFont="1" applyFill="1"/>
    <xf numFmtId="0" fontId="22" fillId="13" borderId="0" xfId="0" applyFont="1" applyFill="1"/>
    <xf numFmtId="0" fontId="16" fillId="0" borderId="0" xfId="0" applyFont="1" applyAlignment="1">
      <alignment horizontal="left" vertical="center" wrapText="1"/>
    </xf>
    <xf numFmtId="0" fontId="23" fillId="0" borderId="0" xfId="0" applyFont="1"/>
    <xf numFmtId="0" fontId="17" fillId="0" borderId="0" xfId="1" applyNumberFormat="1" applyFont="1" applyAlignment="1">
      <alignment horizontal="center"/>
    </xf>
    <xf numFmtId="0" fontId="24" fillId="0" borderId="0" xfId="0" applyFont="1"/>
    <xf numFmtId="167" fontId="24" fillId="0" borderId="0" xfId="1" applyNumberFormat="1" applyFont="1"/>
    <xf numFmtId="167" fontId="19" fillId="13" borderId="0" xfId="1" applyNumberFormat="1" applyFont="1" applyFill="1"/>
    <xf numFmtId="0" fontId="25" fillId="13" borderId="0" xfId="0" applyFont="1" applyFill="1"/>
    <xf numFmtId="0" fontId="25" fillId="13" borderId="0" xfId="0" applyFont="1" applyFill="1" applyAlignment="1">
      <alignment horizontal="center"/>
    </xf>
    <xf numFmtId="9" fontId="0" fillId="0" borderId="0" xfId="0" applyNumberFormat="1"/>
    <xf numFmtId="1" fontId="17" fillId="0" borderId="0" xfId="0" applyNumberFormat="1" applyFont="1"/>
    <xf numFmtId="9" fontId="0" fillId="13" borderId="0" xfId="0" applyNumberFormat="1" applyFill="1" applyAlignment="1">
      <alignment horizontal="center"/>
    </xf>
    <xf numFmtId="0" fontId="17" fillId="13" borderId="0" xfId="0" applyFont="1" applyFill="1" applyAlignment="1">
      <alignment horizontal="center"/>
    </xf>
    <xf numFmtId="167" fontId="16" fillId="13" borderId="0" xfId="1" applyNumberFormat="1" applyFont="1" applyFill="1"/>
    <xf numFmtId="167" fontId="21" fillId="0" borderId="0" xfId="0" applyNumberFormat="1" applyFont="1"/>
    <xf numFmtId="3" fontId="21" fillId="0" borderId="0" xfId="0" applyNumberFormat="1" applyFont="1" applyAlignment="1">
      <alignment horizontal="right"/>
    </xf>
    <xf numFmtId="167" fontId="21" fillId="0" borderId="0" xfId="0" applyNumberFormat="1" applyFont="1" applyAlignment="1">
      <alignment horizontal="left"/>
    </xf>
    <xf numFmtId="0" fontId="14" fillId="14" borderId="0" xfId="0" applyFont="1" applyFill="1"/>
    <xf numFmtId="0" fontId="0" fillId="14" borderId="0" xfId="0" applyFill="1"/>
    <xf numFmtId="167" fontId="14" fillId="14" borderId="0" xfId="0" applyNumberFormat="1" applyFont="1" applyFill="1" applyAlignment="1">
      <alignment horizontal="left"/>
    </xf>
    <xf numFmtId="0" fontId="14" fillId="15" borderId="0" xfId="0" applyFont="1" applyFill="1"/>
    <xf numFmtId="0" fontId="0" fillId="15" borderId="0" xfId="0" applyFill="1"/>
    <xf numFmtId="167" fontId="16" fillId="0" borderId="6" xfId="1" applyNumberFormat="1" applyFont="1" applyBorder="1"/>
    <xf numFmtId="167" fontId="16" fillId="0" borderId="7" xfId="0" applyNumberFormat="1" applyFont="1" applyBorder="1"/>
    <xf numFmtId="167" fontId="16" fillId="0" borderId="6" xfId="0" applyNumberFormat="1" applyFont="1" applyBorder="1"/>
    <xf numFmtId="10" fontId="16" fillId="0" borderId="0" xfId="0" applyNumberFormat="1" applyFont="1"/>
    <xf numFmtId="167" fontId="16" fillId="0" borderId="0" xfId="1" applyNumberFormat="1" applyFont="1"/>
    <xf numFmtId="0" fontId="17" fillId="15" borderId="0" xfId="0" applyFont="1" applyFill="1"/>
    <xf numFmtId="167" fontId="26" fillId="15" borderId="0" xfId="1" applyNumberFormat="1" applyFill="1"/>
    <xf numFmtId="9" fontId="26" fillId="0" borderId="0" xfId="2"/>
    <xf numFmtId="1" fontId="26" fillId="0" borderId="0" xfId="2" applyNumberFormat="1"/>
    <xf numFmtId="169" fontId="0" fillId="0" borderId="0" xfId="0" applyNumberFormat="1" applyAlignment="1">
      <alignment horizontal="right"/>
    </xf>
    <xf numFmtId="3" fontId="0" fillId="15" borderId="0" xfId="0" applyNumberFormat="1" applyFill="1"/>
    <xf numFmtId="0" fontId="16" fillId="16" borderId="0" xfId="0" applyFont="1" applyFill="1"/>
    <xf numFmtId="0" fontId="0" fillId="16" borderId="0" xfId="0" applyFill="1"/>
    <xf numFmtId="167" fontId="16" fillId="0" borderId="0" xfId="1" applyNumberFormat="1" applyFont="1" applyAlignment="1">
      <alignment horizontal="center"/>
    </xf>
    <xf numFmtId="0" fontId="17" fillId="16" borderId="0" xfId="0" applyFont="1" applyFill="1"/>
    <xf numFmtId="167" fontId="16" fillId="16" borderId="0" xfId="0" applyNumberFormat="1" applyFont="1" applyFill="1"/>
    <xf numFmtId="3" fontId="16" fillId="16" borderId="0" xfId="0" applyNumberFormat="1" applyFont="1" applyFill="1"/>
    <xf numFmtId="167" fontId="16" fillId="0" borderId="0" xfId="0" applyNumberFormat="1" applyFont="1"/>
    <xf numFmtId="167" fontId="16" fillId="16" borderId="0" xfId="1" applyNumberFormat="1" applyFont="1" applyFill="1"/>
    <xf numFmtId="0" fontId="16" fillId="17" borderId="0" xfId="0" applyFont="1" applyFill="1"/>
    <xf numFmtId="0" fontId="16" fillId="17" borderId="0" xfId="0" applyFont="1" applyFill="1" applyAlignment="1">
      <alignment horizontal="center"/>
    </xf>
    <xf numFmtId="0" fontId="0" fillId="17" borderId="0" xfId="0" applyFill="1"/>
    <xf numFmtId="167" fontId="16" fillId="17" borderId="0" xfId="0" applyNumberFormat="1" applyFont="1" applyFill="1"/>
    <xf numFmtId="3" fontId="16" fillId="17" borderId="0" xfId="0" applyNumberFormat="1" applyFont="1" applyFill="1"/>
    <xf numFmtId="0" fontId="27" fillId="0" borderId="0" xfId="0" applyFont="1" applyAlignment="1">
      <alignment horizontal="center" vertical="center"/>
    </xf>
    <xf numFmtId="0" fontId="28" fillId="0" borderId="0" xfId="0" applyFont="1"/>
    <xf numFmtId="0" fontId="1" fillId="2" borderId="0" xfId="0" applyFont="1" applyFill="1" applyAlignment="1">
      <alignment horizontal="center" vertical="center"/>
    </xf>
    <xf numFmtId="0" fontId="0" fillId="0" borderId="0" xfId="0"/>
    <xf numFmtId="0" fontId="11" fillId="10" borderId="2" xfId="0" applyFont="1" applyFill="1" applyBorder="1" applyAlignment="1">
      <alignment horizontal="right" vertical="center" wrapText="1"/>
    </xf>
    <xf numFmtId="0" fontId="0" fillId="0" borderId="8" xfId="0" applyBorder="1"/>
    <xf numFmtId="0" fontId="3" fillId="3" borderId="2" xfId="0" applyFont="1" applyFill="1" applyBorder="1" applyAlignment="1">
      <alignment horizontal="left" vertical="center"/>
    </xf>
    <xf numFmtId="0" fontId="3" fillId="11" borderId="2" xfId="0" applyFont="1" applyFill="1" applyBorder="1" applyAlignment="1">
      <alignment horizontal="left" vertical="center"/>
    </xf>
    <xf numFmtId="0" fontId="14" fillId="0" borderId="0" xfId="0" applyFont="1" applyAlignment="1">
      <alignment horizontal="left"/>
    </xf>
    <xf numFmtId="0" fontId="15" fillId="13" borderId="0" xfId="0" applyFont="1" applyFill="1" applyAlignment="1">
      <alignment horizontal="left" vertical="center"/>
    </xf>
    <xf numFmtId="0" fontId="13" fillId="12" borderId="0" xfId="0" applyFont="1" applyFill="1" applyAlignment="1">
      <alignment horizontal="left" vertical="center"/>
    </xf>
    <xf numFmtId="0" fontId="14" fillId="13" borderId="0" xfId="0" applyFont="1" applyFill="1" applyAlignment="1">
      <alignment horizontal="left"/>
    </xf>
    <xf numFmtId="0" fontId="0" fillId="13" borderId="0" xfId="0" applyFill="1"/>
    <xf numFmtId="0" fontId="15" fillId="13" borderId="0" xfId="0" applyFont="1" applyFill="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400"/>
      <rgbColor rgb="FF1B0240"/>
      <rgbColor rgb="FF7F6000"/>
      <rgbColor rgb="FF800080"/>
      <rgbColor rgb="FF008080"/>
      <rgbColor rgb="FFBFBFBF"/>
      <rgbColor rgb="FF808080"/>
      <rgbColor rgb="FF95B3D7"/>
      <rgbColor rgb="FF993366"/>
      <rgbColor rgb="FFFFF2CC"/>
      <rgbColor rgb="FFEBF2FC"/>
      <rgbColor rgb="FF660066"/>
      <rgbColor rgb="FFFF8080"/>
      <rgbColor rgb="FF0054A6"/>
      <rgbColor rgb="FFB9CDE5"/>
      <rgbColor rgb="FF000080"/>
      <rgbColor rgb="FFFF00FF"/>
      <rgbColor rgb="FFFFFF00"/>
      <rgbColor rgb="FF00FFFF"/>
      <rgbColor rgb="FF800080"/>
      <rgbColor rgb="FF800000"/>
      <rgbColor rgb="FF008080"/>
      <rgbColor rgb="FF0000FF"/>
      <rgbColor rgb="FF00CCFF"/>
      <rgbColor rgb="FFDCE6F5"/>
      <rgbColor rgb="FFD9EAD3"/>
      <rgbColor rgb="FFF7FAFF"/>
      <rgbColor rgb="FF93CDDD"/>
      <rgbColor rgb="FFFF99CC"/>
      <rgbColor rgb="FFCCCCCC"/>
      <rgbColor rgb="FFFFE0E0"/>
      <rgbColor rgb="FF3366FF"/>
      <rgbColor rgb="FF33CCCC"/>
      <rgbColor rgb="FF99CC00"/>
      <rgbColor rgb="FFFFCC00"/>
      <rgbColor rgb="FFBF9B30"/>
      <rgbColor rgb="FFFF6600"/>
      <rgbColor rgb="FF558ED5"/>
      <rgbColor rgb="FF969696"/>
      <rgbColor rgb="FF002060"/>
      <rgbColor rgb="FF339966"/>
      <rgbColor rgb="FF003300"/>
      <rgbColor rgb="FF333300"/>
      <rgbColor rgb="FF993300"/>
      <rgbColor rgb="FF993366"/>
      <rgbColor rgb="FF28508C"/>
      <rgbColor rgb="FF0D1F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15480</xdr:colOff>
      <xdr:row>0</xdr:row>
      <xdr:rowOff>30600</xdr:rowOff>
    </xdr:from>
    <xdr:to>
      <xdr:col>0</xdr:col>
      <xdr:colOff>619560</xdr:colOff>
      <xdr:row>3</xdr:row>
      <xdr:rowOff>66600</xdr:rowOff>
    </xdr:to>
    <xdr:pic>
      <xdr:nvPicPr>
        <xdr:cNvPr id="2" name="Pictur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5480" y="30600"/>
          <a:ext cx="604080" cy="57888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zoomScaleNormal="100" workbookViewId="0">
      <pane xSplit="1" ySplit="2" topLeftCell="B32" activePane="bottomRight" state="frozen"/>
      <selection pane="topRight" activeCell="B1" sqref="B1"/>
      <selection pane="bottomLeft" activeCell="A3" sqref="A3"/>
      <selection pane="bottomRight" activeCell="A22" sqref="A22:F22"/>
    </sheetView>
  </sheetViews>
  <sheetFormatPr defaultColWidth="8.6328125" defaultRowHeight="14.5" x14ac:dyDescent="0.35"/>
  <cols>
    <col min="1" max="1" width="42" customWidth="1"/>
    <col min="2" max="4" width="16" customWidth="1"/>
  </cols>
  <sheetData>
    <row r="1" spans="1:6" ht="27.75" customHeight="1" x14ac:dyDescent="0.35">
      <c r="A1" s="138" t="s">
        <v>63</v>
      </c>
      <c r="B1" s="139"/>
      <c r="C1" s="139"/>
      <c r="D1" s="139"/>
    </row>
    <row r="2" spans="1:6" ht="19.5" customHeight="1" x14ac:dyDescent="0.35">
      <c r="A2" s="3" t="s">
        <v>64</v>
      </c>
      <c r="B2" s="3" t="s">
        <v>65</v>
      </c>
      <c r="C2" s="3" t="s">
        <v>66</v>
      </c>
      <c r="D2" s="3" t="s">
        <v>67</v>
      </c>
    </row>
    <row r="3" spans="1:6" ht="21.75" customHeight="1" x14ac:dyDescent="0.35">
      <c r="A3" s="142" t="s">
        <v>68</v>
      </c>
      <c r="B3" s="141"/>
      <c r="C3" s="141"/>
      <c r="D3" s="141"/>
      <c r="E3" s="141"/>
      <c r="F3" s="141"/>
    </row>
    <row r="4" spans="1:6" ht="18" customHeight="1" x14ac:dyDescent="0.35">
      <c r="A4" s="4" t="s">
        <v>69</v>
      </c>
      <c r="B4" s="5">
        <f>Assumptions!F44</f>
        <v>1638000</v>
      </c>
      <c r="C4" s="5">
        <f>Assumptions!G44</f>
        <v>3369600</v>
      </c>
      <c r="D4" s="5">
        <f>Assumptions!H44</f>
        <v>6065280</v>
      </c>
    </row>
    <row r="5" spans="1:6" ht="18" customHeight="1" x14ac:dyDescent="0.35">
      <c r="A5" s="6" t="s">
        <v>70</v>
      </c>
      <c r="B5" s="7">
        <f>Assumptions!F51</f>
        <v>1646400</v>
      </c>
      <c r="C5" s="7">
        <f>Assumptions!G51</f>
        <v>3386880</v>
      </c>
      <c r="D5" s="7">
        <f>Assumptions!H51</f>
        <v>6096384</v>
      </c>
    </row>
    <row r="6" spans="1:6" ht="18" customHeight="1" x14ac:dyDescent="0.35">
      <c r="A6" s="4" t="s">
        <v>71</v>
      </c>
      <c r="B6" s="5">
        <f>Assumptions!F58</f>
        <v>2688000</v>
      </c>
      <c r="C6" s="5">
        <f>Assumptions!G58</f>
        <v>5529600</v>
      </c>
      <c r="D6" s="5">
        <f>Assumptions!H58</f>
        <v>9953280</v>
      </c>
    </row>
    <row r="7" spans="1:6" ht="18" customHeight="1" x14ac:dyDescent="0.35">
      <c r="A7" s="8" t="s">
        <v>2</v>
      </c>
      <c r="B7" s="9">
        <f>B4+B5+B6</f>
        <v>5972400</v>
      </c>
      <c r="C7" s="9">
        <f>C4+C5+C6</f>
        <v>12286080</v>
      </c>
      <c r="D7" s="9">
        <f>D4+D5+D6</f>
        <v>22114944</v>
      </c>
    </row>
    <row r="8" spans="1:6" ht="21.75" customHeight="1" x14ac:dyDescent="0.35">
      <c r="A8" s="142" t="s">
        <v>72</v>
      </c>
      <c r="B8" s="141"/>
      <c r="C8" s="141"/>
      <c r="D8" s="141"/>
      <c r="E8" s="141"/>
      <c r="F8" s="141"/>
    </row>
    <row r="9" spans="1:6" ht="18" customHeight="1" x14ac:dyDescent="0.35">
      <c r="A9" s="4" t="s">
        <v>73</v>
      </c>
      <c r="B9" s="5">
        <f>Assumptions!C109</f>
        <v>4200</v>
      </c>
      <c r="C9" s="5">
        <f>Assumptions!D109</f>
        <v>8640</v>
      </c>
      <c r="D9" s="5">
        <f>Assumptions!F109</f>
        <v>15552</v>
      </c>
    </row>
    <row r="10" spans="1:6" ht="18" customHeight="1" x14ac:dyDescent="0.35">
      <c r="A10" s="6" t="s">
        <v>74</v>
      </c>
      <c r="B10" s="7">
        <f>Assumptions!C110</f>
        <v>84</v>
      </c>
      <c r="C10" s="7">
        <f>Assumptions!D110</f>
        <v>172.8</v>
      </c>
      <c r="D10" s="7">
        <f>Assumptions!F110</f>
        <v>311.04000000000002</v>
      </c>
    </row>
    <row r="11" spans="1:6" ht="18" customHeight="1" x14ac:dyDescent="0.35">
      <c r="A11" s="4" t="s">
        <v>75</v>
      </c>
      <c r="B11" s="5">
        <f>Assumptions!C111</f>
        <v>1092</v>
      </c>
      <c r="C11" s="5">
        <f>Assumptions!D111</f>
        <v>2246.4</v>
      </c>
      <c r="D11" s="5">
        <f>Assumptions!F111</f>
        <v>4043.52</v>
      </c>
    </row>
    <row r="12" spans="1:6" ht="18" customHeight="1" x14ac:dyDescent="0.35">
      <c r="A12" s="6" t="s">
        <v>76</v>
      </c>
      <c r="B12" s="7">
        <f>Assumptions!C112</f>
        <v>504</v>
      </c>
      <c r="C12" s="7">
        <f>Assumptions!D112</f>
        <v>1036.8</v>
      </c>
      <c r="D12" s="7">
        <f>Assumptions!F112</f>
        <v>1866.24</v>
      </c>
    </row>
    <row r="13" spans="1:6" ht="18" customHeight="1" x14ac:dyDescent="0.35">
      <c r="A13" s="4" t="s">
        <v>77</v>
      </c>
      <c r="B13" s="5">
        <f>Assumptions!C113</f>
        <v>336</v>
      </c>
      <c r="C13" s="5">
        <f>Assumptions!D113</f>
        <v>691.2</v>
      </c>
      <c r="D13" s="5">
        <f>Assumptions!F113</f>
        <v>1244.1600000000001</v>
      </c>
    </row>
    <row r="14" spans="1:6" ht="18" customHeight="1" x14ac:dyDescent="0.35">
      <c r="A14" s="6" t="s">
        <v>78</v>
      </c>
      <c r="B14" s="7">
        <f>Assumptions!C114</f>
        <v>10080</v>
      </c>
      <c r="C14" s="7">
        <f>Assumptions!D114</f>
        <v>20736</v>
      </c>
      <c r="D14" s="7">
        <f>Assumptions!F114</f>
        <v>37324.799999999996</v>
      </c>
    </row>
    <row r="15" spans="1:6" ht="18" customHeight="1" x14ac:dyDescent="0.35">
      <c r="A15" s="4" t="s">
        <v>79</v>
      </c>
      <c r="B15" s="5">
        <f>Assumptions!C115</f>
        <v>16800</v>
      </c>
      <c r="C15" s="5">
        <f>Assumptions!D115</f>
        <v>34560</v>
      </c>
      <c r="D15" s="5">
        <f>Assumptions!F115</f>
        <v>62208</v>
      </c>
    </row>
    <row r="16" spans="1:6" ht="18" customHeight="1" x14ac:dyDescent="0.35">
      <c r="A16" s="6" t="s">
        <v>80</v>
      </c>
      <c r="B16" s="7">
        <f>Assumptions!C116</f>
        <v>336</v>
      </c>
      <c r="C16" s="7">
        <f>Assumptions!D116</f>
        <v>691.2</v>
      </c>
      <c r="D16" s="7">
        <f>Assumptions!F116</f>
        <v>1244.1600000000001</v>
      </c>
    </row>
    <row r="17" spans="1:6" ht="18" customHeight="1" x14ac:dyDescent="0.35">
      <c r="A17" s="4" t="s">
        <v>81</v>
      </c>
      <c r="B17" s="5">
        <f>Assumptions!C117</f>
        <v>4200</v>
      </c>
      <c r="C17" s="5">
        <f>Assumptions!D117</f>
        <v>8640</v>
      </c>
      <c r="D17" s="5">
        <f>Assumptions!F117</f>
        <v>15552</v>
      </c>
    </row>
    <row r="18" spans="1:6" ht="18" customHeight="1" x14ac:dyDescent="0.35">
      <c r="A18" s="10" t="s">
        <v>82</v>
      </c>
      <c r="B18" s="11">
        <f>SUM(B9:B17)</f>
        <v>37632</v>
      </c>
      <c r="C18" s="11">
        <f>SUM(C9:C17)</f>
        <v>77414.399999999994</v>
      </c>
      <c r="D18" s="11">
        <f>SUM(D9:D17)</f>
        <v>139345.91999999998</v>
      </c>
    </row>
    <row r="19" spans="1:6" ht="18" customHeight="1" x14ac:dyDescent="0.35">
      <c r="A19" s="12" t="s">
        <v>83</v>
      </c>
      <c r="B19" s="13">
        <f>B7-B18</f>
        <v>5934768</v>
      </c>
      <c r="C19" s="13">
        <f>C7-C18</f>
        <v>12208665.6</v>
      </c>
      <c r="D19" s="13">
        <f>D7-D18</f>
        <v>21975598.079999998</v>
      </c>
    </row>
    <row r="20" spans="1:6" ht="18" customHeight="1" x14ac:dyDescent="0.35">
      <c r="A20" s="14" t="s">
        <v>84</v>
      </c>
      <c r="B20" s="15">
        <f>B19/B7</f>
        <v>0.99369901547116735</v>
      </c>
      <c r="C20" s="15">
        <f>C19/C7</f>
        <v>0.99369901547116735</v>
      </c>
      <c r="D20" s="15">
        <f>D19/D7</f>
        <v>0.99369901547116724</v>
      </c>
    </row>
    <row r="21" spans="1:6" ht="6" customHeight="1" x14ac:dyDescent="0.35"/>
    <row r="22" spans="1:6" ht="21.75" customHeight="1" x14ac:dyDescent="0.35">
      <c r="A22" s="142" t="s">
        <v>85</v>
      </c>
      <c r="B22" s="141"/>
      <c r="C22" s="141"/>
      <c r="D22" s="141"/>
      <c r="E22" s="141"/>
      <c r="F22" s="141"/>
    </row>
    <row r="23" spans="1:6" ht="18" customHeight="1" x14ac:dyDescent="0.35">
      <c r="A23" s="4" t="s">
        <v>86</v>
      </c>
      <c r="B23" s="5">
        <f>Assumptions!D104</f>
        <v>1200000</v>
      </c>
      <c r="C23" s="5">
        <f>Assumptions!F104</f>
        <v>1374000</v>
      </c>
      <c r="D23" s="5">
        <f>Assumptions!G104</f>
        <v>1576200</v>
      </c>
    </row>
    <row r="24" spans="1:6" ht="18" customHeight="1" x14ac:dyDescent="0.35">
      <c r="A24" s="6" t="s">
        <v>87</v>
      </c>
      <c r="B24" s="7">
        <f>B23*0.11</f>
        <v>132000</v>
      </c>
      <c r="C24" s="7">
        <f>C23*0.11</f>
        <v>151140</v>
      </c>
      <c r="D24" s="7">
        <f>D23*0.11</f>
        <v>173382</v>
      </c>
    </row>
    <row r="25" spans="1:6" ht="18" customHeight="1" x14ac:dyDescent="0.35">
      <c r="A25" s="4" t="s">
        <v>88</v>
      </c>
      <c r="B25" s="5">
        <f>Assumptions!C139</f>
        <v>217400</v>
      </c>
      <c r="C25" s="5">
        <f>Assumptions!D139</f>
        <v>287400</v>
      </c>
      <c r="D25" s="5">
        <f>Assumptions!F139</f>
        <v>387200</v>
      </c>
    </row>
    <row r="26" spans="1:6" ht="18" customHeight="1" x14ac:dyDescent="0.35">
      <c r="A26" s="6" t="s">
        <v>89</v>
      </c>
      <c r="B26" s="7">
        <f>Assumptions!C146</f>
        <v>85000</v>
      </c>
      <c r="C26" s="7">
        <f>Assumptions!D146</f>
        <v>146000</v>
      </c>
      <c r="D26" s="7">
        <f>Assumptions!F146</f>
        <v>225000</v>
      </c>
    </row>
    <row r="27" spans="1:6" ht="18" customHeight="1" x14ac:dyDescent="0.35">
      <c r="A27" s="4" t="s">
        <v>90</v>
      </c>
      <c r="B27" s="5">
        <f>Assumptions!C156</f>
        <v>591000</v>
      </c>
      <c r="C27" s="5">
        <f>Assumptions!D156</f>
        <v>389000</v>
      </c>
      <c r="D27" s="5">
        <f>Assumptions!F156</f>
        <v>452000</v>
      </c>
    </row>
    <row r="28" spans="1:6" ht="18" customHeight="1" x14ac:dyDescent="0.35">
      <c r="A28" s="10" t="s">
        <v>91</v>
      </c>
      <c r="B28" s="11">
        <f>SUM(B23:B27)</f>
        <v>2225400</v>
      </c>
      <c r="C28" s="11">
        <f>SUM(C23:C27)</f>
        <v>2347540</v>
      </c>
      <c r="D28" s="11">
        <f>SUM(D23:D27)</f>
        <v>2813782</v>
      </c>
    </row>
    <row r="29" spans="1:6" ht="6" customHeight="1" x14ac:dyDescent="0.35"/>
    <row r="30" spans="1:6" ht="18" customHeight="1" x14ac:dyDescent="0.35">
      <c r="A30" s="16" t="s">
        <v>92</v>
      </c>
      <c r="B30" s="17">
        <f>B19-B28</f>
        <v>3709368</v>
      </c>
      <c r="C30" s="17">
        <f>C19-C28</f>
        <v>9861125.5999999996</v>
      </c>
      <c r="D30" s="17">
        <f>D19-D28</f>
        <v>19161816.079999998</v>
      </c>
    </row>
    <row r="31" spans="1:6" ht="18" customHeight="1" x14ac:dyDescent="0.35">
      <c r="A31" s="18" t="s">
        <v>93</v>
      </c>
      <c r="B31" s="19">
        <f>B30/B7</f>
        <v>0.62108499095840863</v>
      </c>
      <c r="C31" s="19">
        <f>C30/C7</f>
        <v>0.80262586602073238</v>
      </c>
      <c r="D31" s="19">
        <f>D30/D7</f>
        <v>0.8664645987799019</v>
      </c>
    </row>
    <row r="32" spans="1:6" ht="18" customHeight="1" x14ac:dyDescent="0.35">
      <c r="A32" s="4" t="s">
        <v>94</v>
      </c>
      <c r="B32" s="5">
        <f>Assumptions!F164</f>
        <v>210666.66666666669</v>
      </c>
      <c r="C32" s="5">
        <f>Assumptions!G164</f>
        <v>210666.66666666669</v>
      </c>
      <c r="D32" s="5">
        <f>Assumptions!H164</f>
        <v>210666.66666666669</v>
      </c>
    </row>
    <row r="33" spans="1:4" ht="18" customHeight="1" x14ac:dyDescent="0.35">
      <c r="A33" s="10" t="s">
        <v>14</v>
      </c>
      <c r="B33" s="11">
        <f>B30-B32</f>
        <v>3498701.3333333335</v>
      </c>
      <c r="C33" s="11">
        <f>C30-C32</f>
        <v>9650458.9333333336</v>
      </c>
      <c r="D33" s="11">
        <f>D30-D32</f>
        <v>18951149.41333333</v>
      </c>
    </row>
    <row r="34" spans="1:4" ht="18" customHeight="1" x14ac:dyDescent="0.35">
      <c r="A34" s="20" t="s">
        <v>95</v>
      </c>
      <c r="B34" s="21">
        <f>MAX(B33,0)*0.025</f>
        <v>87467.53333333334</v>
      </c>
      <c r="C34" s="21">
        <f>MAX(C33,0)*0.025</f>
        <v>241261.47333333336</v>
      </c>
      <c r="D34" s="21">
        <f>MAX(D33,0)*0.025</f>
        <v>473778.73533333326</v>
      </c>
    </row>
    <row r="35" spans="1:4" ht="18" customHeight="1" x14ac:dyDescent="0.35">
      <c r="A35" s="16" t="s">
        <v>31</v>
      </c>
      <c r="B35" s="17">
        <f>B33-B34</f>
        <v>3411233.8000000003</v>
      </c>
      <c r="C35" s="17">
        <f>C33-C34</f>
        <v>9409197.4600000009</v>
      </c>
      <c r="D35" s="17">
        <f>D33-D34</f>
        <v>18477370.677999996</v>
      </c>
    </row>
    <row r="36" spans="1:4" ht="18" customHeight="1" x14ac:dyDescent="0.35">
      <c r="A36" s="18" t="s">
        <v>96</v>
      </c>
      <c r="B36" s="19">
        <f>B35/B7</f>
        <v>0.57116633179291409</v>
      </c>
      <c r="C36" s="19">
        <f>C35/C7</f>
        <v>0.76584211237432942</v>
      </c>
      <c r="D36" s="19">
        <f>D35/D7</f>
        <v>0.83551514659046822</v>
      </c>
    </row>
    <row r="38" spans="1:4" ht="30" customHeight="1" x14ac:dyDescent="0.35">
      <c r="A38" s="140" t="s">
        <v>97</v>
      </c>
      <c r="B38" s="141"/>
      <c r="C38" s="141"/>
      <c r="D38" s="141"/>
    </row>
    <row r="40" spans="1:4" x14ac:dyDescent="0.35">
      <c r="A40" s="137" t="s">
        <v>98</v>
      </c>
    </row>
  </sheetData>
  <mergeCells count="5">
    <mergeCell ref="A1:D1"/>
    <mergeCell ref="A38:D38"/>
    <mergeCell ref="A8:F8"/>
    <mergeCell ref="A22:F22"/>
    <mergeCell ref="A3:F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zoomScaleNormal="100" workbookViewId="0">
      <pane xSplit="1" ySplit="2" topLeftCell="B13" activePane="bottomRight" state="frozen"/>
      <selection pane="topRight" activeCell="B1" sqref="B1"/>
      <selection pane="bottomLeft" activeCell="A3" sqref="A3"/>
      <selection pane="bottomRight" activeCell="A17" sqref="A17:E17"/>
    </sheetView>
  </sheetViews>
  <sheetFormatPr defaultColWidth="8.6328125" defaultRowHeight="14.5" x14ac:dyDescent="0.35"/>
  <cols>
    <col min="1" max="1" width="46" customWidth="1"/>
    <col min="2" max="5" width="16" customWidth="1"/>
  </cols>
  <sheetData>
    <row r="1" spans="1:5" ht="27.75" customHeight="1" x14ac:dyDescent="0.35">
      <c r="A1" s="138" t="s">
        <v>99</v>
      </c>
      <c r="B1" s="139"/>
      <c r="C1" s="139"/>
      <c r="D1" s="139"/>
      <c r="E1" s="139"/>
    </row>
    <row r="2" spans="1:5" ht="19.5" customHeight="1" x14ac:dyDescent="0.35">
      <c r="A2" s="22" t="s">
        <v>100</v>
      </c>
      <c r="B2" s="3" t="s">
        <v>101</v>
      </c>
      <c r="C2" s="3" t="s">
        <v>65</v>
      </c>
      <c r="D2" s="3" t="s">
        <v>66</v>
      </c>
      <c r="E2" s="3" t="s">
        <v>67</v>
      </c>
    </row>
    <row r="3" spans="1:5" ht="21.75" customHeight="1" x14ac:dyDescent="0.35">
      <c r="A3" s="142" t="s">
        <v>102</v>
      </c>
      <c r="B3" s="141"/>
      <c r="C3" s="141"/>
      <c r="D3" s="141"/>
      <c r="E3" s="141"/>
    </row>
    <row r="4" spans="1:5" ht="18" customHeight="1" x14ac:dyDescent="0.35">
      <c r="A4" s="20" t="s">
        <v>103</v>
      </c>
      <c r="B4" s="21">
        <f>-Assumptions!D182</f>
        <v>-2093400</v>
      </c>
      <c r="C4" s="21" t="s">
        <v>30</v>
      </c>
      <c r="D4" s="21" t="s">
        <v>30</v>
      </c>
      <c r="E4" s="21" t="s">
        <v>30</v>
      </c>
    </row>
    <row r="5" spans="1:5" ht="18" customHeight="1" x14ac:dyDescent="0.35">
      <c r="A5" s="8" t="s">
        <v>31</v>
      </c>
      <c r="B5" s="9" t="s">
        <v>30</v>
      </c>
      <c r="C5" s="9">
        <f>'Income Statement'!B35</f>
        <v>3411233.8000000003</v>
      </c>
      <c r="D5" s="9">
        <f>'Income Statement'!C35</f>
        <v>9409197.4600000009</v>
      </c>
      <c r="E5" s="9">
        <f>'Income Statement'!D35</f>
        <v>18477370.677999996</v>
      </c>
    </row>
    <row r="6" spans="1:5" ht="18" customHeight="1" x14ac:dyDescent="0.35">
      <c r="A6" s="4" t="s">
        <v>104</v>
      </c>
      <c r="B6" s="5" t="s">
        <v>30</v>
      </c>
      <c r="C6" s="5">
        <f>'Income Statement'!B32</f>
        <v>210666.66666666669</v>
      </c>
      <c r="D6" s="5">
        <f>'Income Statement'!C32</f>
        <v>210666.66666666669</v>
      </c>
      <c r="E6" s="5">
        <f>'Income Statement'!D32</f>
        <v>210666.66666666669</v>
      </c>
    </row>
    <row r="7" spans="1:5" ht="18" customHeight="1" x14ac:dyDescent="0.35">
      <c r="A7" s="6" t="s">
        <v>105</v>
      </c>
      <c r="B7" s="7" t="s">
        <v>30</v>
      </c>
      <c r="C7" s="7">
        <f>-'Income Statement'!B7*Assumptions!B175/365</f>
        <v>-1472646.5753424657</v>
      </c>
      <c r="D7" s="7">
        <f>-('Income Statement'!C7-'Income Statement'!B7)*Assumptions!B175/365</f>
        <v>-1556797.8082191781</v>
      </c>
      <c r="E7" s="7">
        <f>-('Income Statement'!D7-'Income Statement'!C7)*Assumptions!B175/365</f>
        <v>-2423555.506849315</v>
      </c>
    </row>
    <row r="8" spans="1:5" ht="18" customHeight="1" x14ac:dyDescent="0.35">
      <c r="A8" s="4" t="s">
        <v>106</v>
      </c>
      <c r="B8" s="5" t="s">
        <v>30</v>
      </c>
      <c r="C8" s="5">
        <f>'Income Statement'!B18*Assumptions!B176/365</f>
        <v>6186.0821917808216</v>
      </c>
      <c r="D8" s="5">
        <f>('Income Statement'!C18-'Income Statement'!B18)*Assumptions!B176/365</f>
        <v>6539.572602739725</v>
      </c>
      <c r="E8" s="5">
        <f>('Income Statement'!D18-'Income Statement'!C18)*Assumptions!B176/365</f>
        <v>10180.523835616435</v>
      </c>
    </row>
    <row r="9" spans="1:5" ht="18" customHeight="1" x14ac:dyDescent="0.35">
      <c r="A9" s="6" t="s">
        <v>107</v>
      </c>
      <c r="B9" s="7" t="s">
        <v>30</v>
      </c>
      <c r="C9" s="7">
        <f>'Income Statement'!B34</f>
        <v>87467.53333333334</v>
      </c>
      <c r="D9" s="7">
        <f>'Income Statement'!C34-'Income Statement'!B34</f>
        <v>153793.94</v>
      </c>
      <c r="E9" s="7">
        <f>'Income Statement'!D34-'Income Statement'!C34</f>
        <v>232517.2619999999</v>
      </c>
    </row>
    <row r="10" spans="1:5" ht="18" customHeight="1" x14ac:dyDescent="0.35">
      <c r="A10" s="12" t="s">
        <v>34</v>
      </c>
      <c r="B10" s="13">
        <f>B4</f>
        <v>-2093400</v>
      </c>
      <c r="C10" s="13">
        <f>SUM(C5:C9)</f>
        <v>2242907.506849315</v>
      </c>
      <c r="D10" s="13">
        <f>SUM(D5:D9)</f>
        <v>8223399.8310502293</v>
      </c>
      <c r="E10" s="13">
        <f>SUM(E5:E9)</f>
        <v>16507179.623652965</v>
      </c>
    </row>
    <row r="11" spans="1:5" ht="6" customHeight="1" x14ac:dyDescent="0.35"/>
    <row r="12" spans="1:5" ht="21.75" customHeight="1" x14ac:dyDescent="0.35">
      <c r="A12" s="142" t="s">
        <v>108</v>
      </c>
      <c r="B12" s="141"/>
      <c r="C12" s="141"/>
      <c r="D12" s="141"/>
      <c r="E12" s="141"/>
    </row>
    <row r="13" spans="1:5" ht="18" customHeight="1" x14ac:dyDescent="0.35">
      <c r="A13" s="23" t="s">
        <v>109</v>
      </c>
      <c r="B13" s="24">
        <f>-Assumptions!H169</f>
        <v>-92000</v>
      </c>
      <c r="C13" s="24" t="s">
        <v>30</v>
      </c>
      <c r="D13" s="24" t="s">
        <v>30</v>
      </c>
      <c r="E13" s="24" t="s">
        <v>30</v>
      </c>
    </row>
    <row r="14" spans="1:5" ht="18" customHeight="1" x14ac:dyDescent="0.35">
      <c r="A14" s="25" t="s">
        <v>110</v>
      </c>
      <c r="B14" s="26">
        <f>-Assumptions!H90</f>
        <v>-900000</v>
      </c>
      <c r="C14" s="26" t="s">
        <v>30</v>
      </c>
      <c r="D14" s="26" t="s">
        <v>30</v>
      </c>
      <c r="E14" s="26" t="s">
        <v>30</v>
      </c>
    </row>
    <row r="15" spans="1:5" ht="18" customHeight="1" x14ac:dyDescent="0.35">
      <c r="A15" s="10" t="s">
        <v>111</v>
      </c>
      <c r="B15" s="11">
        <f>SUM(B13:B14)</f>
        <v>-992000</v>
      </c>
      <c r="C15" s="11" t="s">
        <v>30</v>
      </c>
      <c r="D15" s="11" t="s">
        <v>30</v>
      </c>
      <c r="E15" s="11" t="s">
        <v>30</v>
      </c>
    </row>
    <row r="16" spans="1:5" ht="6" customHeight="1" x14ac:dyDescent="0.35"/>
    <row r="17" spans="1:5" ht="21.75" customHeight="1" x14ac:dyDescent="0.35">
      <c r="A17" s="142" t="s">
        <v>112</v>
      </c>
      <c r="B17" s="141"/>
      <c r="C17" s="141"/>
      <c r="D17" s="141"/>
      <c r="E17" s="141"/>
    </row>
    <row r="18" spans="1:5" ht="18" customHeight="1" x14ac:dyDescent="0.35">
      <c r="A18" s="14" t="s">
        <v>113</v>
      </c>
      <c r="B18" s="27">
        <f>Assumptions!D184</f>
        <v>3393940</v>
      </c>
      <c r="C18" s="27" t="s">
        <v>30</v>
      </c>
      <c r="D18" s="27" t="s">
        <v>30</v>
      </c>
      <c r="E18" s="27" t="s">
        <v>30</v>
      </c>
    </row>
    <row r="19" spans="1:5" ht="18" customHeight="1" x14ac:dyDescent="0.35">
      <c r="A19" s="10" t="s">
        <v>114</v>
      </c>
      <c r="B19" s="11">
        <f>B18</f>
        <v>3393940</v>
      </c>
      <c r="C19" s="11" t="s">
        <v>30</v>
      </c>
      <c r="D19" s="11" t="s">
        <v>30</v>
      </c>
      <c r="E19" s="11" t="s">
        <v>30</v>
      </c>
    </row>
    <row r="20" spans="1:5" ht="6" customHeight="1" x14ac:dyDescent="0.35"/>
    <row r="21" spans="1:5" ht="18" customHeight="1" x14ac:dyDescent="0.35">
      <c r="A21" s="16" t="s">
        <v>115</v>
      </c>
      <c r="B21" s="17">
        <f>B10+B15+B19</f>
        <v>308540</v>
      </c>
      <c r="C21" s="17">
        <f>C10</f>
        <v>2242907.506849315</v>
      </c>
      <c r="D21" s="17">
        <f>D10</f>
        <v>8223399.8310502293</v>
      </c>
      <c r="E21" s="17">
        <f>E10</f>
        <v>16507179.623652965</v>
      </c>
    </row>
    <row r="22" spans="1:5" ht="18" customHeight="1" x14ac:dyDescent="0.35">
      <c r="A22" s="18" t="s">
        <v>116</v>
      </c>
      <c r="B22" s="28" t="s">
        <v>117</v>
      </c>
      <c r="C22" s="28">
        <f>B23</f>
        <v>308540</v>
      </c>
      <c r="D22" s="28">
        <f>C23</f>
        <v>2551447.506849315</v>
      </c>
      <c r="E22" s="28">
        <f>D23</f>
        <v>10774847.337899543</v>
      </c>
    </row>
    <row r="23" spans="1:5" ht="18" customHeight="1" x14ac:dyDescent="0.35">
      <c r="A23" s="16" t="s">
        <v>118</v>
      </c>
      <c r="B23" s="17">
        <f>B22+B21</f>
        <v>308540</v>
      </c>
      <c r="C23" s="17">
        <f>C22+C21</f>
        <v>2551447.506849315</v>
      </c>
      <c r="D23" s="17">
        <f>D22+D21</f>
        <v>10774847.337899543</v>
      </c>
      <c r="E23" s="17">
        <f>E22+E21</f>
        <v>27282026.961552508</v>
      </c>
    </row>
    <row r="25" spans="1:5" ht="45" customHeight="1" x14ac:dyDescent="0.35">
      <c r="A25" s="140" t="s">
        <v>119</v>
      </c>
      <c r="B25" s="141"/>
      <c r="C25" s="141"/>
      <c r="D25" s="141"/>
      <c r="E25" s="141"/>
    </row>
  </sheetData>
  <mergeCells count="5">
    <mergeCell ref="A12:E12"/>
    <mergeCell ref="A25:E25"/>
    <mergeCell ref="A1:E1"/>
    <mergeCell ref="A17:E17"/>
    <mergeCell ref="A3:E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3"/>
  <sheetViews>
    <sheetView zoomScaleNormal="100" workbookViewId="0">
      <pane xSplit="1" ySplit="2" topLeftCell="B22" activePane="bottomRight" state="frozen"/>
      <selection pane="topRight" activeCell="B1" sqref="B1"/>
      <selection pane="bottomLeft" activeCell="A3" sqref="A3"/>
      <selection pane="bottomRight" activeCell="A24" sqref="A24:F24"/>
    </sheetView>
  </sheetViews>
  <sheetFormatPr defaultColWidth="8.6328125" defaultRowHeight="14.5" x14ac:dyDescent="0.35"/>
  <cols>
    <col min="1" max="1" width="44" customWidth="1"/>
    <col min="2" max="4" width="16" customWidth="1"/>
  </cols>
  <sheetData>
    <row r="1" spans="1:6" ht="27.75" customHeight="1" x14ac:dyDescent="0.35">
      <c r="A1" s="138" t="s">
        <v>120</v>
      </c>
      <c r="B1" s="139"/>
      <c r="C1" s="139"/>
      <c r="D1" s="139"/>
    </row>
    <row r="2" spans="1:6" ht="19.5" customHeight="1" x14ac:dyDescent="0.35">
      <c r="A2" s="3" t="s">
        <v>64</v>
      </c>
      <c r="B2" s="3" t="s">
        <v>65</v>
      </c>
      <c r="C2" s="3" t="s">
        <v>66</v>
      </c>
      <c r="D2" s="3" t="s">
        <v>67</v>
      </c>
    </row>
    <row r="3" spans="1:6" ht="21.75" customHeight="1" x14ac:dyDescent="0.35">
      <c r="A3" s="142" t="s">
        <v>121</v>
      </c>
      <c r="B3" s="141"/>
      <c r="C3" s="141"/>
      <c r="D3" s="141"/>
      <c r="E3" s="141"/>
      <c r="F3" s="141"/>
    </row>
    <row r="4" spans="1:6" ht="21.75" customHeight="1" x14ac:dyDescent="0.35">
      <c r="A4" s="143" t="s">
        <v>122</v>
      </c>
      <c r="B4" s="141"/>
      <c r="C4" s="141"/>
      <c r="D4" s="141"/>
      <c r="E4" s="141"/>
      <c r="F4" s="141"/>
    </row>
    <row r="5" spans="1:6" ht="18" customHeight="1" x14ac:dyDescent="0.35">
      <c r="A5" s="18" t="s">
        <v>123</v>
      </c>
      <c r="B5" s="28">
        <f>'Cash Flow'!C23</f>
        <v>2551447.506849315</v>
      </c>
      <c r="C5" s="28">
        <f>'Cash Flow'!D23</f>
        <v>10774847.337899543</v>
      </c>
      <c r="D5" s="28">
        <f>'Cash Flow'!E23</f>
        <v>27282026.961552508</v>
      </c>
    </row>
    <row r="6" spans="1:6" ht="18" customHeight="1" x14ac:dyDescent="0.35">
      <c r="A6" s="4" t="s">
        <v>124</v>
      </c>
      <c r="B6" s="5">
        <f>'Income Statement'!B7*Assumptions!B175/365</f>
        <v>1472646.5753424657</v>
      </c>
      <c r="C6" s="5">
        <f>'Income Statement'!C7*Assumptions!B175/365</f>
        <v>3029444.3835616438</v>
      </c>
      <c r="D6" s="5">
        <f>'Income Statement'!D7*Assumptions!B175/365</f>
        <v>5452999.8904109588</v>
      </c>
    </row>
    <row r="7" spans="1:6" ht="18" customHeight="1" x14ac:dyDescent="0.35">
      <c r="A7" s="6" t="s">
        <v>125</v>
      </c>
      <c r="B7" s="7">
        <f>'Income Statement'!B7/12*Assumptions!B174</f>
        <v>74655</v>
      </c>
      <c r="C7" s="7">
        <f>'Income Statement'!C7/12*Assumptions!B174</f>
        <v>153576</v>
      </c>
      <c r="D7" s="7">
        <f>'Income Statement'!D7/12*Assumptions!B174</f>
        <v>276436.8</v>
      </c>
    </row>
    <row r="8" spans="1:6" ht="18" customHeight="1" x14ac:dyDescent="0.35">
      <c r="A8" s="10" t="s">
        <v>126</v>
      </c>
      <c r="B8" s="11">
        <f>B5+B6+B7</f>
        <v>4098749.0821917807</v>
      </c>
      <c r="C8" s="11">
        <f>C5+C6+C7</f>
        <v>13957867.721461188</v>
      </c>
      <c r="D8" s="11">
        <f>D5+D6+D7</f>
        <v>33011463.651963469</v>
      </c>
    </row>
    <row r="9" spans="1:6" ht="6" customHeight="1" x14ac:dyDescent="0.35"/>
    <row r="10" spans="1:6" ht="21.75" customHeight="1" x14ac:dyDescent="0.35">
      <c r="A10" s="143" t="s">
        <v>127</v>
      </c>
      <c r="B10" s="141"/>
      <c r="C10" s="141"/>
      <c r="D10" s="141"/>
      <c r="E10" s="141"/>
      <c r="F10" s="141"/>
    </row>
    <row r="11" spans="1:6" ht="18" customHeight="1" x14ac:dyDescent="0.35">
      <c r="A11" s="6" t="s">
        <v>128</v>
      </c>
      <c r="B11" s="7">
        <f>Assumptions!H169-(Assumptions!F160+Assumptions!F161)</f>
        <v>61333.333333333328</v>
      </c>
      <c r="C11" s="7">
        <f>Assumptions!H169-2*(Assumptions!F160+Assumptions!F161)</f>
        <v>30666.666666666664</v>
      </c>
      <c r="D11" s="7">
        <f>Assumptions!H169-3*(Assumptions!F160+Assumptions!F161)</f>
        <v>0</v>
      </c>
    </row>
    <row r="12" spans="1:6" ht="18" customHeight="1" x14ac:dyDescent="0.35">
      <c r="A12" s="4" t="s">
        <v>129</v>
      </c>
      <c r="B12" s="5">
        <f>Assumptions!H90-Assumptions!F162-Assumptions!F163</f>
        <v>720000</v>
      </c>
      <c r="C12" s="5">
        <f>Assumptions!H90-2*Assumptions!F162-2*Assumptions!F163</f>
        <v>540000</v>
      </c>
      <c r="D12" s="5">
        <f>Assumptions!H90-3*Assumptions!F162-3*Assumptions!F163</f>
        <v>360000</v>
      </c>
    </row>
    <row r="13" spans="1:6" ht="18" customHeight="1" x14ac:dyDescent="0.35">
      <c r="A13" s="10" t="s">
        <v>130</v>
      </c>
      <c r="B13" s="11">
        <f>B11+B12</f>
        <v>781333.33333333337</v>
      </c>
      <c r="C13" s="11">
        <f>C11+C12</f>
        <v>570666.66666666663</v>
      </c>
      <c r="D13" s="11">
        <f>D11+D12</f>
        <v>360000</v>
      </c>
    </row>
    <row r="14" spans="1:6" ht="6" customHeight="1" x14ac:dyDescent="0.35"/>
    <row r="15" spans="1:6" ht="18" customHeight="1" x14ac:dyDescent="0.35">
      <c r="A15" s="16" t="s">
        <v>131</v>
      </c>
      <c r="B15" s="17">
        <f>B8+B13</f>
        <v>4880082.4155251142</v>
      </c>
      <c r="C15" s="17">
        <f>C8+C13</f>
        <v>14528534.388127854</v>
      </c>
      <c r="D15" s="17">
        <f>D8+D13</f>
        <v>33371463.651963469</v>
      </c>
    </row>
    <row r="16" spans="1:6" ht="7.5" customHeight="1" x14ac:dyDescent="0.35"/>
    <row r="17" spans="1:6" ht="21.75" customHeight="1" x14ac:dyDescent="0.35">
      <c r="A17" s="142" t="s">
        <v>132</v>
      </c>
      <c r="B17" s="141"/>
      <c r="C17" s="141"/>
      <c r="D17" s="141"/>
      <c r="E17" s="141"/>
      <c r="F17" s="141"/>
    </row>
    <row r="18" spans="1:6" ht="21.75" customHeight="1" x14ac:dyDescent="0.35">
      <c r="A18" s="143" t="s">
        <v>133</v>
      </c>
      <c r="B18" s="141"/>
      <c r="C18" s="141"/>
      <c r="D18" s="141"/>
      <c r="E18" s="141"/>
      <c r="F18" s="141"/>
    </row>
    <row r="19" spans="1:6" ht="18" customHeight="1" x14ac:dyDescent="0.35">
      <c r="A19" s="4" t="s">
        <v>134</v>
      </c>
      <c r="B19" s="5">
        <f>'Income Statement'!B18*Assumptions!B176/365</f>
        <v>6186.0821917808216</v>
      </c>
      <c r="C19" s="5">
        <f>'Income Statement'!C18*Assumptions!B176/365</f>
        <v>12725.654794520548</v>
      </c>
      <c r="D19" s="5">
        <f>'Income Statement'!D18*Assumptions!B176/365</f>
        <v>22906.178630136983</v>
      </c>
    </row>
    <row r="20" spans="1:6" ht="18" customHeight="1" x14ac:dyDescent="0.35">
      <c r="A20" s="6" t="s">
        <v>135</v>
      </c>
      <c r="B20" s="7">
        <f>'Income Statement'!B34</f>
        <v>87467.53333333334</v>
      </c>
      <c r="C20" s="7">
        <f>'Income Statement'!C34</f>
        <v>241261.47333333336</v>
      </c>
      <c r="D20" s="7">
        <f>'Income Statement'!D34</f>
        <v>473778.73533333326</v>
      </c>
    </row>
    <row r="21" spans="1:6" ht="18" customHeight="1" x14ac:dyDescent="0.35">
      <c r="A21" s="4" t="s">
        <v>136</v>
      </c>
      <c r="B21" s="5">
        <f>'Income Statement'!B7/12*Assumptions!B174</f>
        <v>74655</v>
      </c>
      <c r="C21" s="5">
        <f>'Income Statement'!C7/12*Assumptions!B174</f>
        <v>153576</v>
      </c>
      <c r="D21" s="5">
        <f>'Income Statement'!D7/12*Assumptions!B174</f>
        <v>276436.8</v>
      </c>
    </row>
    <row r="22" spans="1:6" ht="18" customHeight="1" x14ac:dyDescent="0.35">
      <c r="A22" s="10" t="s">
        <v>137</v>
      </c>
      <c r="B22" s="11">
        <f>B19+B20+B21</f>
        <v>168308.61552511418</v>
      </c>
      <c r="C22" s="11">
        <f>C19+C20+C21</f>
        <v>407563.12812785391</v>
      </c>
      <c r="D22" s="11">
        <f>D19+D20+D21</f>
        <v>773121.71396347019</v>
      </c>
    </row>
    <row r="23" spans="1:6" ht="7.5" customHeight="1" x14ac:dyDescent="0.35"/>
    <row r="24" spans="1:6" ht="21.75" customHeight="1" x14ac:dyDescent="0.35">
      <c r="A24" s="142" t="s">
        <v>138</v>
      </c>
      <c r="B24" s="141"/>
      <c r="C24" s="141"/>
      <c r="D24" s="141"/>
      <c r="E24" s="141"/>
      <c r="F24" s="141"/>
    </row>
    <row r="25" spans="1:6" ht="18" customHeight="1" x14ac:dyDescent="0.35">
      <c r="A25" s="18" t="s">
        <v>139</v>
      </c>
      <c r="B25" s="28">
        <f>Assumptions!D184</f>
        <v>3393940</v>
      </c>
      <c r="C25" s="28">
        <f>Assumptions!D184</f>
        <v>3393940</v>
      </c>
      <c r="D25" s="28">
        <f>Assumptions!D184</f>
        <v>3393940</v>
      </c>
    </row>
    <row r="26" spans="1:6" ht="18" customHeight="1" x14ac:dyDescent="0.35">
      <c r="A26" s="20" t="s">
        <v>140</v>
      </c>
      <c r="B26" s="21">
        <f>-Assumptions!D182</f>
        <v>-2093400</v>
      </c>
      <c r="C26" s="21">
        <f>-Assumptions!D182</f>
        <v>-2093400</v>
      </c>
      <c r="D26" s="21">
        <f>-Assumptions!D182</f>
        <v>-2093400</v>
      </c>
    </row>
    <row r="27" spans="1:6" ht="18" customHeight="1" x14ac:dyDescent="0.35">
      <c r="A27" s="4" t="s">
        <v>141</v>
      </c>
      <c r="B27" s="5">
        <f>'Income Statement'!B35</f>
        <v>3411233.8000000003</v>
      </c>
      <c r="C27" s="5">
        <f>'Income Statement'!B35+'Income Statement'!C35</f>
        <v>12820431.260000002</v>
      </c>
      <c r="D27" s="5">
        <f>'Income Statement'!B35+'Income Statement'!C35+'Income Statement'!D35</f>
        <v>31297801.937999997</v>
      </c>
    </row>
    <row r="28" spans="1:6" ht="18" customHeight="1" x14ac:dyDescent="0.35">
      <c r="A28" s="10" t="s">
        <v>61</v>
      </c>
      <c r="B28" s="11">
        <f>B25+B26+B27</f>
        <v>4711773.8000000007</v>
      </c>
      <c r="C28" s="11">
        <f>C25+C26+C27</f>
        <v>14120971.260000002</v>
      </c>
      <c r="D28" s="11">
        <f>D25+D26+D27</f>
        <v>32598341.937999997</v>
      </c>
    </row>
    <row r="29" spans="1:6" ht="7.5" customHeight="1" x14ac:dyDescent="0.35"/>
    <row r="30" spans="1:6" ht="18" customHeight="1" x14ac:dyDescent="0.35">
      <c r="A30" s="16" t="s">
        <v>142</v>
      </c>
      <c r="B30" s="17">
        <f>B22+B28</f>
        <v>4880082.4155251151</v>
      </c>
      <c r="C30" s="17">
        <f>C22+C28</f>
        <v>14528534.388127856</v>
      </c>
      <c r="D30" s="17">
        <f>D22+D28</f>
        <v>33371463.651963469</v>
      </c>
    </row>
    <row r="31" spans="1:6" ht="18" customHeight="1" x14ac:dyDescent="0.35">
      <c r="A31" s="29" t="s">
        <v>143</v>
      </c>
      <c r="B31" s="30">
        <f>B15-B30</f>
        <v>0</v>
      </c>
      <c r="C31" s="30">
        <f>C15-C30</f>
        <v>0</v>
      </c>
      <c r="D31" s="30">
        <f>D15-D30</f>
        <v>0</v>
      </c>
    </row>
    <row r="33" spans="1:4" ht="30" customHeight="1" x14ac:dyDescent="0.35">
      <c r="A33" s="140" t="s">
        <v>144</v>
      </c>
      <c r="B33" s="141"/>
      <c r="C33" s="141"/>
      <c r="D33" s="141"/>
    </row>
  </sheetData>
  <mergeCells count="8">
    <mergeCell ref="A33:D33"/>
    <mergeCell ref="A4:F4"/>
    <mergeCell ref="A3:F3"/>
    <mergeCell ref="A24:F24"/>
    <mergeCell ref="A1:D1"/>
    <mergeCell ref="A10:F10"/>
    <mergeCell ref="A17:F17"/>
    <mergeCell ref="A18:F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55"/>
  <sheetViews>
    <sheetView showGridLines="0" zoomScale="80" zoomScaleNormal="80" workbookViewId="0">
      <selection activeCell="B12" sqref="B12"/>
    </sheetView>
  </sheetViews>
  <sheetFormatPr defaultColWidth="8.6328125" defaultRowHeight="14.5" outlineLevelRow="1" x14ac:dyDescent="0.35"/>
  <cols>
    <col min="1" max="1" width="18.08984375" customWidth="1"/>
    <col min="2" max="2" width="31.36328125" customWidth="1"/>
    <col min="3" max="3" width="77.90625" customWidth="1"/>
    <col min="4" max="4" width="15.08984375" customWidth="1"/>
    <col min="5" max="5" width="2" customWidth="1"/>
    <col min="6" max="6" width="10.90625" customWidth="1"/>
    <col min="7" max="7" width="11.6328125" customWidth="1"/>
    <col min="8" max="8" width="14.54296875" customWidth="1"/>
    <col min="11" max="11" width="36.08984375" customWidth="1"/>
    <col min="12" max="12" width="20" customWidth="1"/>
  </cols>
  <sheetData>
    <row r="1" spans="1:15" x14ac:dyDescent="0.35">
      <c r="A1" s="146" t="s">
        <v>145</v>
      </c>
      <c r="B1" s="139"/>
      <c r="C1" s="139"/>
      <c r="D1" s="139"/>
      <c r="E1" s="139"/>
      <c r="F1" s="139"/>
      <c r="G1" s="139"/>
      <c r="H1" s="139"/>
      <c r="I1" s="139"/>
      <c r="J1" s="139"/>
      <c r="K1" s="139"/>
      <c r="L1" s="139"/>
      <c r="M1" s="139"/>
      <c r="N1" s="139"/>
      <c r="O1" s="139"/>
    </row>
    <row r="2" spans="1:15" x14ac:dyDescent="0.35">
      <c r="A2" s="139"/>
      <c r="B2" s="139"/>
      <c r="C2" s="139"/>
      <c r="D2" s="139"/>
      <c r="E2" s="139"/>
      <c r="F2" s="139"/>
      <c r="G2" s="139"/>
      <c r="H2" s="139"/>
      <c r="I2" s="139"/>
      <c r="J2" s="139"/>
      <c r="K2" s="139"/>
      <c r="L2" s="139"/>
      <c r="M2" s="139"/>
      <c r="N2" s="139"/>
      <c r="O2" s="139"/>
    </row>
    <row r="3" spans="1:15" x14ac:dyDescent="0.35">
      <c r="A3" s="139"/>
      <c r="B3" s="139"/>
      <c r="C3" s="139"/>
      <c r="D3" s="139"/>
      <c r="E3" s="139"/>
      <c r="F3" s="139"/>
      <c r="G3" s="139"/>
      <c r="H3" s="139"/>
      <c r="I3" s="139"/>
      <c r="J3" s="139"/>
      <c r="K3" s="139"/>
      <c r="L3" s="139"/>
      <c r="M3" s="139"/>
      <c r="N3" s="139"/>
      <c r="O3" s="139"/>
    </row>
    <row r="4" spans="1:15" ht="7.5" customHeight="1" x14ac:dyDescent="0.35">
      <c r="A4" s="139"/>
      <c r="B4" s="139"/>
      <c r="C4" s="139"/>
      <c r="D4" s="139"/>
      <c r="E4" s="139"/>
      <c r="F4" s="139"/>
      <c r="G4" s="139"/>
      <c r="H4" s="139"/>
      <c r="I4" s="139"/>
      <c r="J4" s="139"/>
      <c r="K4" s="139"/>
      <c r="L4" s="139"/>
      <c r="M4" s="139"/>
      <c r="N4" s="139"/>
      <c r="O4" s="139"/>
    </row>
    <row r="5" spans="1:15" ht="21" customHeight="1" x14ac:dyDescent="0.5">
      <c r="A5" s="147" t="s">
        <v>146</v>
      </c>
      <c r="B5" s="139"/>
      <c r="C5" s="139"/>
      <c r="D5" s="139"/>
      <c r="E5" s="139"/>
      <c r="F5" s="139"/>
      <c r="G5" s="31"/>
      <c r="H5" s="31"/>
      <c r="I5" s="31"/>
      <c r="J5" s="31"/>
      <c r="K5" s="31"/>
      <c r="L5" s="31"/>
      <c r="M5" s="31"/>
      <c r="N5" s="31"/>
      <c r="O5" s="31"/>
    </row>
    <row r="6" spans="1:15" ht="21" customHeight="1" x14ac:dyDescent="0.5">
      <c r="A6" s="32" t="s">
        <v>147</v>
      </c>
      <c r="B6" s="33">
        <v>2</v>
      </c>
      <c r="C6" s="31"/>
      <c r="D6" s="31"/>
      <c r="E6" s="31"/>
      <c r="F6" s="2"/>
      <c r="G6" s="31"/>
      <c r="H6" s="31"/>
      <c r="I6" s="31"/>
      <c r="J6" s="31"/>
      <c r="K6" s="31"/>
      <c r="L6" s="31"/>
      <c r="M6" s="31"/>
      <c r="N6" s="31"/>
      <c r="O6" s="31"/>
    </row>
    <row r="7" spans="1:15" ht="21" customHeight="1" x14ac:dyDescent="0.35">
      <c r="A7" s="145" t="s">
        <v>148</v>
      </c>
      <c r="B7" s="139"/>
      <c r="C7" s="139"/>
      <c r="D7" s="139"/>
      <c r="E7" s="139"/>
      <c r="F7" s="139"/>
      <c r="G7" s="139"/>
      <c r="H7" s="139"/>
      <c r="I7" s="139"/>
      <c r="J7" s="139"/>
      <c r="K7" s="139"/>
      <c r="L7" s="139"/>
      <c r="M7" s="139"/>
      <c r="N7" s="139"/>
      <c r="O7" s="139"/>
    </row>
    <row r="8" spans="1:15" outlineLevel="1" x14ac:dyDescent="0.35">
      <c r="A8" s="34"/>
      <c r="B8" s="35" t="s">
        <v>149</v>
      </c>
      <c r="C8" s="36"/>
      <c r="D8" s="36"/>
      <c r="E8" s="36"/>
      <c r="F8" s="36">
        <v>2027</v>
      </c>
      <c r="G8" s="36">
        <v>2028</v>
      </c>
      <c r="H8" s="36">
        <v>2029</v>
      </c>
    </row>
    <row r="9" spans="1:15" outlineLevel="1" x14ac:dyDescent="0.35">
      <c r="A9" s="34"/>
      <c r="B9" s="37"/>
      <c r="C9" s="38" t="s">
        <v>149</v>
      </c>
      <c r="D9" s="38"/>
      <c r="E9" s="38"/>
      <c r="F9" s="38">
        <f t="array" ref="F9">INDEX(F11:F13,$B$6)</f>
        <v>8</v>
      </c>
      <c r="G9" s="38">
        <f t="array" ref="G9">INDEX(G11:G13,$B$6)</f>
        <v>12</v>
      </c>
      <c r="H9" s="38">
        <f t="array" ref="H9">INDEX(H11:H13,$B$6)</f>
        <v>16</v>
      </c>
    </row>
    <row r="10" spans="1:15" outlineLevel="1" x14ac:dyDescent="0.35">
      <c r="A10" s="34"/>
      <c r="B10" s="37"/>
    </row>
    <row r="11" spans="1:15" outlineLevel="1" x14ac:dyDescent="0.35">
      <c r="A11" s="34"/>
      <c r="B11" s="37"/>
      <c r="C11" s="36" t="s">
        <v>150</v>
      </c>
      <c r="D11" s="36"/>
      <c r="E11" s="36"/>
      <c r="F11" s="36">
        <v>10</v>
      </c>
      <c r="G11" s="36">
        <v>15</v>
      </c>
      <c r="H11" s="36">
        <v>20</v>
      </c>
    </row>
    <row r="12" spans="1:15" outlineLevel="1" x14ac:dyDescent="0.35">
      <c r="A12" s="34"/>
      <c r="B12" s="136"/>
      <c r="C12" s="36" t="s">
        <v>151</v>
      </c>
      <c r="D12" s="36"/>
      <c r="E12" s="36"/>
      <c r="F12" s="36">
        <v>8</v>
      </c>
      <c r="G12" s="36">
        <v>12</v>
      </c>
      <c r="H12" s="36">
        <v>16</v>
      </c>
    </row>
    <row r="13" spans="1:15" outlineLevel="1" x14ac:dyDescent="0.35">
      <c r="A13" s="34"/>
      <c r="B13" s="37"/>
      <c r="C13" s="36" t="s">
        <v>152</v>
      </c>
      <c r="D13" s="36"/>
      <c r="E13" s="36"/>
      <c r="F13" s="36">
        <v>3</v>
      </c>
      <c r="G13" s="36">
        <v>5</v>
      </c>
      <c r="H13" s="36">
        <v>10</v>
      </c>
    </row>
    <row r="14" spans="1:15" outlineLevel="1" x14ac:dyDescent="0.35">
      <c r="A14" s="34"/>
      <c r="B14" s="37"/>
    </row>
    <row r="15" spans="1:15" outlineLevel="1" x14ac:dyDescent="0.35">
      <c r="A15" s="34"/>
      <c r="B15" s="37"/>
    </row>
    <row r="16" spans="1:15" outlineLevel="1" x14ac:dyDescent="0.35">
      <c r="A16" s="34"/>
      <c r="B16" s="35" t="s">
        <v>153</v>
      </c>
      <c r="C16" s="36"/>
      <c r="F16" s="36">
        <f>F8</f>
        <v>2027</v>
      </c>
      <c r="G16" s="36">
        <f>G8</f>
        <v>2028</v>
      </c>
      <c r="H16" s="36">
        <f>H8</f>
        <v>2029</v>
      </c>
    </row>
    <row r="17" spans="1:8" outlineLevel="1" x14ac:dyDescent="0.35">
      <c r="A17" s="34"/>
      <c r="B17" s="37"/>
      <c r="C17" s="38" t="s">
        <v>154</v>
      </c>
      <c r="D17" s="38"/>
      <c r="E17" s="38"/>
      <c r="F17" s="38">
        <f t="array" ref="F17">INDEX(F19:F21,$B$6)</f>
        <v>56</v>
      </c>
      <c r="G17" s="38">
        <f t="array" ref="G17">INDEX(G19:G21,$B$6)</f>
        <v>96</v>
      </c>
      <c r="H17" s="38">
        <f t="array" ref="H17">INDEX(H19:H21,$B$6)</f>
        <v>144</v>
      </c>
    </row>
    <row r="18" spans="1:8" outlineLevel="1" x14ac:dyDescent="0.35"/>
    <row r="19" spans="1:8" outlineLevel="1" x14ac:dyDescent="0.35">
      <c r="C19" s="36" t="s">
        <v>150</v>
      </c>
      <c r="F19" s="36">
        <f>F11*10</f>
        <v>100</v>
      </c>
      <c r="G19" s="36">
        <f>G11*11</f>
        <v>165</v>
      </c>
      <c r="H19" s="36">
        <f>H11*12</f>
        <v>240</v>
      </c>
    </row>
    <row r="20" spans="1:8" outlineLevel="1" x14ac:dyDescent="0.35">
      <c r="C20" s="36" t="s">
        <v>151</v>
      </c>
      <c r="F20" s="36">
        <f>F12*7</f>
        <v>56</v>
      </c>
      <c r="G20" s="36">
        <f>G12*8</f>
        <v>96</v>
      </c>
      <c r="H20" s="36">
        <f>H12*9</f>
        <v>144</v>
      </c>
    </row>
    <row r="21" spans="1:8" outlineLevel="1" x14ac:dyDescent="0.35">
      <c r="C21" s="36" t="s">
        <v>152</v>
      </c>
      <c r="F21" s="36">
        <f>F13*4</f>
        <v>12</v>
      </c>
      <c r="G21" s="36">
        <f>G13*5</f>
        <v>25</v>
      </c>
      <c r="H21" s="36">
        <f>H13*6</f>
        <v>60</v>
      </c>
    </row>
    <row r="22" spans="1:8" outlineLevel="1" x14ac:dyDescent="0.35"/>
    <row r="23" spans="1:8" outlineLevel="1" x14ac:dyDescent="0.35">
      <c r="B23" s="39" t="s">
        <v>155</v>
      </c>
      <c r="C23" s="36"/>
      <c r="F23" s="40">
        <f>F16</f>
        <v>2027</v>
      </c>
      <c r="G23" s="40">
        <f>G16</f>
        <v>2028</v>
      </c>
      <c r="H23" s="40">
        <f>H16</f>
        <v>2029</v>
      </c>
    </row>
    <row r="24" spans="1:8" outlineLevel="1" x14ac:dyDescent="0.35">
      <c r="B24" s="41"/>
      <c r="C24" s="38" t="s">
        <v>156</v>
      </c>
      <c r="D24" s="38"/>
      <c r="E24" s="38"/>
      <c r="F24" s="42">
        <f t="array" ref="F24">INDEX(F32:F34,$B$6)</f>
        <v>8400</v>
      </c>
      <c r="G24" s="42">
        <f t="array" ref="G24">INDEX(G32:G34,$B$6)</f>
        <v>17280</v>
      </c>
      <c r="H24" s="42">
        <f t="array" ref="H24">INDEX(H32:H34,$B$6)</f>
        <v>31104</v>
      </c>
    </row>
    <row r="25" spans="1:8" outlineLevel="1" x14ac:dyDescent="0.35"/>
    <row r="26" spans="1:8" outlineLevel="1" x14ac:dyDescent="0.35">
      <c r="B26" s="39" t="s">
        <v>157</v>
      </c>
      <c r="C26" s="36"/>
      <c r="F26" s="40">
        <f>F23</f>
        <v>2027</v>
      </c>
      <c r="G26" s="40">
        <f>G23</f>
        <v>2028</v>
      </c>
      <c r="H26" s="40">
        <f>H23</f>
        <v>2029</v>
      </c>
    </row>
    <row r="27" spans="1:8" outlineLevel="1" x14ac:dyDescent="0.35">
      <c r="C27" s="36" t="s">
        <v>150</v>
      </c>
      <c r="F27" s="41">
        <v>200</v>
      </c>
      <c r="G27" s="41">
        <f t="shared" ref="G27:H29" si="0">F27*(1+20%)</f>
        <v>240</v>
      </c>
      <c r="H27" s="41">
        <f t="shared" si="0"/>
        <v>288</v>
      </c>
    </row>
    <row r="28" spans="1:8" outlineLevel="1" x14ac:dyDescent="0.35">
      <c r="C28" s="36" t="s">
        <v>151</v>
      </c>
      <c r="F28" s="41">
        <v>150</v>
      </c>
      <c r="G28" s="41">
        <f t="shared" si="0"/>
        <v>180</v>
      </c>
      <c r="H28" s="41">
        <f t="shared" si="0"/>
        <v>216</v>
      </c>
    </row>
    <row r="29" spans="1:8" outlineLevel="1" x14ac:dyDescent="0.35">
      <c r="C29" s="36" t="s">
        <v>152</v>
      </c>
      <c r="F29" s="41">
        <v>100</v>
      </c>
      <c r="G29" s="41">
        <f t="shared" si="0"/>
        <v>120</v>
      </c>
      <c r="H29" s="41">
        <f t="shared" si="0"/>
        <v>144</v>
      </c>
    </row>
    <row r="30" spans="1:8" outlineLevel="1" x14ac:dyDescent="0.35"/>
    <row r="31" spans="1:8" outlineLevel="1" x14ac:dyDescent="0.35">
      <c r="B31" s="39" t="s">
        <v>158</v>
      </c>
      <c r="C31" s="36"/>
      <c r="F31" s="43">
        <f>F26</f>
        <v>2027</v>
      </c>
      <c r="G31" s="43">
        <f>G26</f>
        <v>2028</v>
      </c>
      <c r="H31" s="43">
        <f>H26</f>
        <v>2029</v>
      </c>
    </row>
    <row r="32" spans="1:8" outlineLevel="1" x14ac:dyDescent="0.35">
      <c r="C32" s="36" t="s">
        <v>150</v>
      </c>
      <c r="F32" s="44">
        <f t="shared" ref="F32:H33" si="1">F27*F19</f>
        <v>20000</v>
      </c>
      <c r="G32" s="44">
        <f t="shared" si="1"/>
        <v>39600</v>
      </c>
      <c r="H32" s="44">
        <f t="shared" si="1"/>
        <v>69120</v>
      </c>
    </row>
    <row r="33" spans="1:15" outlineLevel="1" x14ac:dyDescent="0.35">
      <c r="C33" s="36" t="s">
        <v>151</v>
      </c>
      <c r="F33" s="44">
        <f t="shared" si="1"/>
        <v>8400</v>
      </c>
      <c r="G33" s="44">
        <f t="shared" si="1"/>
        <v>17280</v>
      </c>
      <c r="H33" s="44">
        <f t="shared" si="1"/>
        <v>31104</v>
      </c>
    </row>
    <row r="34" spans="1:15" outlineLevel="1" x14ac:dyDescent="0.35">
      <c r="C34" s="36" t="s">
        <v>152</v>
      </c>
      <c r="F34" s="44">
        <f>F21*F29</f>
        <v>1200</v>
      </c>
      <c r="G34" s="44">
        <f>G21*G29</f>
        <v>3000</v>
      </c>
      <c r="H34" s="44">
        <f>H21*H29</f>
        <v>8640</v>
      </c>
    </row>
    <row r="35" spans="1:15" outlineLevel="1" x14ac:dyDescent="0.35"/>
    <row r="36" spans="1:15" x14ac:dyDescent="0.35">
      <c r="K36" s="45"/>
      <c r="L36" s="45"/>
    </row>
    <row r="37" spans="1:15" ht="21" customHeight="1" x14ac:dyDescent="0.5">
      <c r="A37" s="147" t="s">
        <v>159</v>
      </c>
      <c r="B37" s="139"/>
      <c r="C37" s="139"/>
      <c r="D37" s="139"/>
      <c r="E37" s="139"/>
      <c r="F37" s="139"/>
      <c r="G37" s="139"/>
      <c r="H37" s="139"/>
      <c r="I37" s="139"/>
      <c r="J37" s="139"/>
      <c r="K37" s="139"/>
      <c r="L37" s="139"/>
      <c r="M37" s="139"/>
      <c r="N37" s="139"/>
      <c r="O37" s="139"/>
    </row>
    <row r="38" spans="1:15" ht="21" customHeight="1" x14ac:dyDescent="0.5">
      <c r="A38" s="1"/>
      <c r="B38" s="1"/>
      <c r="C38" s="1"/>
      <c r="D38" s="1"/>
      <c r="E38" s="1"/>
      <c r="F38" s="1"/>
      <c r="G38" s="1"/>
      <c r="H38" s="1"/>
      <c r="I38" s="1"/>
      <c r="J38" s="1"/>
      <c r="K38" s="1"/>
      <c r="L38" s="1"/>
      <c r="M38" s="1"/>
      <c r="N38" s="1"/>
      <c r="O38" s="1"/>
    </row>
    <row r="39" spans="1:15" ht="21" customHeight="1" outlineLevel="1" x14ac:dyDescent="0.5">
      <c r="A39" s="1"/>
      <c r="B39" s="1"/>
      <c r="C39" s="1"/>
      <c r="D39" s="1"/>
      <c r="E39" s="1"/>
      <c r="F39" s="46" t="s">
        <v>160</v>
      </c>
      <c r="G39" s="46" t="s">
        <v>161</v>
      </c>
      <c r="H39" s="46" t="s">
        <v>162</v>
      </c>
      <c r="I39" s="1"/>
      <c r="J39" s="1"/>
      <c r="K39" s="1"/>
      <c r="L39" s="1"/>
      <c r="M39" s="1"/>
      <c r="N39" s="1"/>
      <c r="O39" s="1"/>
    </row>
    <row r="40" spans="1:15" ht="21" customHeight="1" outlineLevel="1" x14ac:dyDescent="0.5">
      <c r="A40" s="1"/>
      <c r="B40" s="47" t="s">
        <v>163</v>
      </c>
      <c r="C40" s="1"/>
      <c r="D40" s="1"/>
      <c r="E40" s="1"/>
      <c r="F40" s="48">
        <v>0.1</v>
      </c>
      <c r="G40" s="48">
        <v>0.08</v>
      </c>
      <c r="H40" s="48">
        <v>0.1</v>
      </c>
      <c r="I40" s="1"/>
      <c r="J40" s="1"/>
      <c r="K40" s="1"/>
      <c r="L40" s="1"/>
      <c r="M40" s="1"/>
      <c r="N40" s="1"/>
      <c r="O40" s="1"/>
    </row>
    <row r="41" spans="1:15" ht="21" customHeight="1" outlineLevel="1" x14ac:dyDescent="0.5">
      <c r="A41" s="1"/>
      <c r="B41" s="1"/>
      <c r="C41" s="1"/>
      <c r="D41" s="1"/>
      <c r="E41" s="1"/>
      <c r="F41" s="1"/>
      <c r="G41" s="1"/>
      <c r="H41" s="1"/>
      <c r="I41" s="1"/>
      <c r="J41" s="1"/>
      <c r="K41" s="1"/>
      <c r="L41" s="1"/>
      <c r="M41" s="1"/>
      <c r="N41" s="1"/>
      <c r="O41" s="1"/>
    </row>
    <row r="42" spans="1:15" outlineLevel="1" x14ac:dyDescent="0.35">
      <c r="B42" s="49" t="s">
        <v>164</v>
      </c>
      <c r="C42" s="50"/>
      <c r="F42" s="51">
        <v>2027</v>
      </c>
      <c r="G42" s="51">
        <v>2028</v>
      </c>
      <c r="H42" s="51">
        <v>2029</v>
      </c>
    </row>
    <row r="43" spans="1:15" outlineLevel="1" x14ac:dyDescent="0.35">
      <c r="C43" s="36" t="s">
        <v>150</v>
      </c>
      <c r="F43" s="52">
        <f t="shared" ref="F43:H45" si="2">((((F27/4)*F19)*1300)*$F$40)*6</f>
        <v>3900000</v>
      </c>
      <c r="G43" s="52">
        <f t="shared" si="2"/>
        <v>7722000</v>
      </c>
      <c r="H43" s="52">
        <f t="shared" si="2"/>
        <v>13478400</v>
      </c>
    </row>
    <row r="44" spans="1:15" outlineLevel="1" x14ac:dyDescent="0.35">
      <c r="C44" s="36" t="s">
        <v>151</v>
      </c>
      <c r="F44" s="53">
        <f t="shared" si="2"/>
        <v>1638000</v>
      </c>
      <c r="G44" s="53">
        <f t="shared" si="2"/>
        <v>3369600</v>
      </c>
      <c r="H44" s="53">
        <f t="shared" si="2"/>
        <v>6065280</v>
      </c>
    </row>
    <row r="45" spans="1:15" outlineLevel="1" x14ac:dyDescent="0.35">
      <c r="C45" s="36" t="s">
        <v>152</v>
      </c>
      <c r="F45" s="53">
        <f t="shared" si="2"/>
        <v>234000</v>
      </c>
      <c r="G45" s="53">
        <f t="shared" si="2"/>
        <v>585000</v>
      </c>
      <c r="H45" s="53">
        <f t="shared" si="2"/>
        <v>1684800</v>
      </c>
    </row>
    <row r="46" spans="1:15" outlineLevel="1" x14ac:dyDescent="0.35">
      <c r="C46" s="36"/>
      <c r="F46" s="37"/>
      <c r="G46" s="37"/>
      <c r="H46" s="37"/>
    </row>
    <row r="47" spans="1:15" outlineLevel="1" x14ac:dyDescent="0.35">
      <c r="C47" s="36"/>
      <c r="F47" s="37"/>
      <c r="G47" s="37"/>
      <c r="H47" s="37"/>
    </row>
    <row r="48" spans="1:15" outlineLevel="1" x14ac:dyDescent="0.35">
      <c r="C48" s="36"/>
      <c r="F48" s="54"/>
      <c r="G48" s="54"/>
      <c r="H48" s="54"/>
    </row>
    <row r="49" spans="2:8" outlineLevel="1" x14ac:dyDescent="0.35">
      <c r="B49" s="49" t="s">
        <v>161</v>
      </c>
      <c r="C49" s="50"/>
      <c r="F49" s="51">
        <f>F42</f>
        <v>2027</v>
      </c>
      <c r="G49" s="51">
        <f>G42</f>
        <v>2028</v>
      </c>
      <c r="H49" s="51">
        <f>H42</f>
        <v>2029</v>
      </c>
    </row>
    <row r="50" spans="2:8" outlineLevel="1" x14ac:dyDescent="0.35">
      <c r="C50" s="36" t="s">
        <v>150</v>
      </c>
      <c r="F50" s="53">
        <f t="shared" ref="F50:H52" si="3">((F32*70%)*3500)*$G$40</f>
        <v>3920000</v>
      </c>
      <c r="G50" s="53">
        <f t="shared" si="3"/>
        <v>7761600</v>
      </c>
      <c r="H50" s="53">
        <f t="shared" si="3"/>
        <v>13547520</v>
      </c>
    </row>
    <row r="51" spans="2:8" outlineLevel="1" x14ac:dyDescent="0.35">
      <c r="C51" s="36" t="s">
        <v>151</v>
      </c>
      <c r="F51" s="53">
        <f t="shared" si="3"/>
        <v>1646400</v>
      </c>
      <c r="G51" s="53">
        <f t="shared" si="3"/>
        <v>3386880</v>
      </c>
      <c r="H51" s="53">
        <f t="shared" si="3"/>
        <v>6096384</v>
      </c>
    </row>
    <row r="52" spans="2:8" outlineLevel="1" x14ac:dyDescent="0.35">
      <c r="C52" s="36" t="s">
        <v>152</v>
      </c>
      <c r="F52" s="53">
        <f t="shared" si="3"/>
        <v>235200</v>
      </c>
      <c r="G52" s="53">
        <f t="shared" si="3"/>
        <v>588000</v>
      </c>
      <c r="H52" s="53">
        <f t="shared" si="3"/>
        <v>1693440</v>
      </c>
    </row>
    <row r="53" spans="2:8" outlineLevel="1" x14ac:dyDescent="0.35">
      <c r="F53" s="37"/>
      <c r="G53" s="37"/>
      <c r="H53" s="37"/>
    </row>
    <row r="54" spans="2:8" outlineLevel="1" x14ac:dyDescent="0.35">
      <c r="F54" s="37"/>
      <c r="G54" s="37"/>
      <c r="H54" s="37"/>
    </row>
    <row r="55" spans="2:8" outlineLevel="1" x14ac:dyDescent="0.35">
      <c r="F55" s="54"/>
      <c r="G55" s="54"/>
      <c r="H55" s="54"/>
    </row>
    <row r="56" spans="2:8" outlineLevel="1" x14ac:dyDescent="0.35">
      <c r="B56" s="49" t="s">
        <v>162</v>
      </c>
      <c r="C56" s="50"/>
      <c r="F56" s="51">
        <f>F49</f>
        <v>2027</v>
      </c>
      <c r="G56" s="51">
        <f>G49</f>
        <v>2028</v>
      </c>
      <c r="H56" s="51">
        <f>H49</f>
        <v>2029</v>
      </c>
    </row>
    <row r="57" spans="2:8" outlineLevel="1" x14ac:dyDescent="0.35">
      <c r="C57" s="36" t="s">
        <v>150</v>
      </c>
      <c r="F57" s="55">
        <f t="shared" ref="F57:H59" si="4">(F32/1.5)*1200*4*$H$40</f>
        <v>6400000</v>
      </c>
      <c r="G57" s="55">
        <f t="shared" si="4"/>
        <v>12672000</v>
      </c>
      <c r="H57" s="55">
        <f t="shared" si="4"/>
        <v>22118400</v>
      </c>
    </row>
    <row r="58" spans="2:8" outlineLevel="1" x14ac:dyDescent="0.35">
      <c r="C58" s="36" t="s">
        <v>151</v>
      </c>
      <c r="F58" s="55">
        <f t="shared" si="4"/>
        <v>2688000</v>
      </c>
      <c r="G58" s="55">
        <f t="shared" si="4"/>
        <v>5529600</v>
      </c>
      <c r="H58" s="55">
        <f t="shared" si="4"/>
        <v>9953280</v>
      </c>
    </row>
    <row r="59" spans="2:8" outlineLevel="1" x14ac:dyDescent="0.35">
      <c r="C59" s="36" t="s">
        <v>152</v>
      </c>
      <c r="F59" s="55">
        <f t="shared" si="4"/>
        <v>384000</v>
      </c>
      <c r="G59" s="55">
        <f t="shared" si="4"/>
        <v>960000</v>
      </c>
      <c r="H59" s="55">
        <f t="shared" si="4"/>
        <v>2764800</v>
      </c>
    </row>
    <row r="60" spans="2:8" outlineLevel="1" x14ac:dyDescent="0.35">
      <c r="C60" s="36"/>
      <c r="F60" s="55"/>
      <c r="G60" s="55"/>
      <c r="H60" s="55"/>
    </row>
    <row r="61" spans="2:8" outlineLevel="1" x14ac:dyDescent="0.35">
      <c r="C61" s="36"/>
      <c r="F61" s="55"/>
      <c r="G61" s="55"/>
      <c r="H61" s="55"/>
    </row>
    <row r="62" spans="2:8" outlineLevel="1" x14ac:dyDescent="0.35">
      <c r="C62" s="36"/>
      <c r="F62" s="54"/>
      <c r="G62" s="54"/>
      <c r="H62" s="54"/>
    </row>
    <row r="63" spans="2:8" outlineLevel="1" x14ac:dyDescent="0.35">
      <c r="B63" s="49" t="s">
        <v>165</v>
      </c>
      <c r="C63" s="50"/>
      <c r="F63" s="51">
        <v>2027</v>
      </c>
      <c r="G63" s="51">
        <v>2028</v>
      </c>
      <c r="H63" s="51">
        <v>2029</v>
      </c>
    </row>
    <row r="64" spans="2:8" outlineLevel="1" x14ac:dyDescent="0.35">
      <c r="C64" s="49" t="s">
        <v>160</v>
      </c>
      <c r="F64" s="52">
        <f t="array" ref="F64">INDEX(F43:F45,$B$6)</f>
        <v>1638000</v>
      </c>
      <c r="G64" s="52">
        <f t="array" ref="G64">INDEX(G43:G45,$B$6)</f>
        <v>3369600</v>
      </c>
      <c r="H64" s="52">
        <f t="array" ref="H64">INDEX(H43:H45,$B$6)</f>
        <v>6065280</v>
      </c>
    </row>
    <row r="65" spans="1:15" outlineLevel="1" x14ac:dyDescent="0.35">
      <c r="C65" s="49" t="s">
        <v>161</v>
      </c>
      <c r="F65" s="52">
        <f t="array" ref="F65">INDEX(F50:F52,$B$6)</f>
        <v>1646400</v>
      </c>
      <c r="G65" s="52">
        <f t="array" ref="G65">INDEX(G50:G52,$B$6)</f>
        <v>3386880</v>
      </c>
      <c r="H65" s="52">
        <f t="array" ref="H65">INDEX(H50:H52,$B$6)</f>
        <v>6096384</v>
      </c>
    </row>
    <row r="66" spans="1:15" outlineLevel="1" x14ac:dyDescent="0.35">
      <c r="C66" s="49" t="s">
        <v>162</v>
      </c>
      <c r="D66" s="49"/>
      <c r="F66" s="52">
        <f t="array" ref="F66">INDEX(F57:F59,$B$6)</f>
        <v>2688000</v>
      </c>
      <c r="G66" s="52">
        <f t="array" ref="G66">INDEX(G57:G59,$B$6)</f>
        <v>5529600</v>
      </c>
      <c r="H66" s="52">
        <f t="array" ref="H66">INDEX(H57:H59,$B$6)</f>
        <v>9953280</v>
      </c>
    </row>
    <row r="67" spans="1:15" outlineLevel="1" x14ac:dyDescent="0.35">
      <c r="B67" s="36"/>
      <c r="C67" s="56" t="s">
        <v>166</v>
      </c>
      <c r="D67" s="56"/>
      <c r="E67" s="38"/>
      <c r="F67" s="57">
        <f>SUM(F64:F66)</f>
        <v>5972400</v>
      </c>
      <c r="G67" s="57">
        <f>SUM(G64:G66)</f>
        <v>12286080</v>
      </c>
      <c r="H67" s="57">
        <f>SUM(H64:H66)</f>
        <v>22114944</v>
      </c>
    </row>
    <row r="68" spans="1:15" ht="2.25" customHeight="1" outlineLevel="1" x14ac:dyDescent="0.35">
      <c r="C68" s="36"/>
      <c r="F68" s="58"/>
      <c r="G68" s="58"/>
      <c r="H68" s="58"/>
    </row>
    <row r="69" spans="1:15" ht="12" customHeight="1" outlineLevel="1" x14ac:dyDescent="0.5">
      <c r="A69" s="144"/>
      <c r="B69" s="139"/>
      <c r="C69" s="139"/>
      <c r="D69" s="139"/>
      <c r="E69" s="139"/>
      <c r="F69" s="139"/>
      <c r="G69" s="139"/>
      <c r="H69" s="139"/>
      <c r="I69" s="139"/>
      <c r="J69" s="139"/>
      <c r="K69" s="139"/>
      <c r="L69" s="139"/>
      <c r="M69" s="139"/>
      <c r="N69" s="139"/>
      <c r="O69" s="139"/>
    </row>
    <row r="70" spans="1:15" ht="21" customHeight="1" x14ac:dyDescent="0.5">
      <c r="A70" s="147" t="s">
        <v>167</v>
      </c>
      <c r="B70" s="139"/>
      <c r="C70" s="139"/>
      <c r="D70" s="139"/>
      <c r="E70" s="139"/>
      <c r="F70" s="139"/>
      <c r="G70" s="139"/>
      <c r="H70" s="139"/>
      <c r="I70" s="139"/>
      <c r="J70" s="139"/>
      <c r="K70" s="139"/>
      <c r="L70" s="139"/>
      <c r="M70" s="139"/>
      <c r="N70" s="139"/>
      <c r="O70" s="139"/>
    </row>
    <row r="71" spans="1:15" s="60" customFormat="1" ht="19.5" customHeight="1" x14ac:dyDescent="0.5">
      <c r="A71" s="59"/>
      <c r="B71" s="59"/>
      <c r="C71" s="59"/>
      <c r="D71" s="59"/>
      <c r="E71" s="59"/>
      <c r="F71" s="59"/>
      <c r="G71" s="59"/>
      <c r="H71" s="59"/>
      <c r="I71" s="59"/>
      <c r="J71" s="59"/>
      <c r="K71" s="59"/>
      <c r="L71" s="59"/>
      <c r="M71" s="59"/>
      <c r="N71" s="59"/>
      <c r="O71" s="59"/>
    </row>
    <row r="72" spans="1:15" s="38" customFormat="1" ht="17.25" customHeight="1" x14ac:dyDescent="0.5">
      <c r="A72" s="149" t="s">
        <v>168</v>
      </c>
      <c r="B72" s="148"/>
      <c r="C72" s="148"/>
    </row>
    <row r="73" spans="1:15" ht="13.5" customHeight="1" x14ac:dyDescent="0.65">
      <c r="A73" s="61"/>
      <c r="B73" s="62"/>
      <c r="C73" s="62"/>
    </row>
    <row r="74" spans="1:15" ht="28.5" customHeight="1" outlineLevel="1" x14ac:dyDescent="0.65">
      <c r="A74" s="61"/>
      <c r="B74" s="62"/>
      <c r="C74" s="62"/>
    </row>
    <row r="75" spans="1:15" ht="19.5" customHeight="1" outlineLevel="1" x14ac:dyDescent="0.65">
      <c r="A75" s="61"/>
      <c r="B75" s="62" t="s">
        <v>169</v>
      </c>
      <c r="C75" s="62"/>
      <c r="F75">
        <v>2</v>
      </c>
    </row>
    <row r="76" spans="1:15" ht="17.25" customHeight="1" outlineLevel="1" x14ac:dyDescent="0.65">
      <c r="A76" s="61"/>
      <c r="B76" s="62"/>
      <c r="C76" s="62"/>
    </row>
    <row r="77" spans="1:15" outlineLevel="1" x14ac:dyDescent="0.35">
      <c r="A77" s="36"/>
      <c r="B77" s="49" t="s">
        <v>170</v>
      </c>
      <c r="C77" s="36"/>
      <c r="F77" s="63"/>
    </row>
    <row r="78" spans="1:15" outlineLevel="1" x14ac:dyDescent="0.35">
      <c r="A78" s="36"/>
      <c r="C78" s="36"/>
      <c r="F78" s="63"/>
    </row>
    <row r="79" spans="1:15" outlineLevel="1" x14ac:dyDescent="0.35">
      <c r="C79" s="36" t="s">
        <v>150</v>
      </c>
      <c r="F79" s="64">
        <v>400000</v>
      </c>
    </row>
    <row r="80" spans="1:15" outlineLevel="1" x14ac:dyDescent="0.35">
      <c r="C80" s="36" t="s">
        <v>151</v>
      </c>
      <c r="F80" s="64">
        <v>450000</v>
      </c>
    </row>
    <row r="81" spans="1:8" outlineLevel="1" x14ac:dyDescent="0.35">
      <c r="C81" s="36" t="s">
        <v>152</v>
      </c>
      <c r="F81" s="64">
        <v>500000</v>
      </c>
    </row>
    <row r="82" spans="1:8" outlineLevel="1" x14ac:dyDescent="0.35">
      <c r="B82" s="65"/>
      <c r="F82" s="40"/>
    </row>
    <row r="83" spans="1:8" outlineLevel="1" x14ac:dyDescent="0.35">
      <c r="C83" s="36"/>
      <c r="F83" s="64"/>
    </row>
    <row r="84" spans="1:8" outlineLevel="1" x14ac:dyDescent="0.35">
      <c r="B84" s="49" t="s">
        <v>171</v>
      </c>
      <c r="C84" s="36"/>
      <c r="F84" s="64"/>
    </row>
    <row r="85" spans="1:8" outlineLevel="1" x14ac:dyDescent="0.35">
      <c r="C85" s="36"/>
      <c r="F85" s="64"/>
    </row>
    <row r="86" spans="1:8" outlineLevel="1" x14ac:dyDescent="0.35">
      <c r="C86" s="36" t="s">
        <v>150</v>
      </c>
      <c r="F86" s="64">
        <v>400000</v>
      </c>
    </row>
    <row r="87" spans="1:8" outlineLevel="1" x14ac:dyDescent="0.35">
      <c r="C87" s="36" t="s">
        <v>151</v>
      </c>
      <c r="F87" s="64">
        <v>450000</v>
      </c>
    </row>
    <row r="88" spans="1:8" outlineLevel="1" x14ac:dyDescent="0.35">
      <c r="B88" s="65"/>
      <c r="C88" s="36" t="s">
        <v>152</v>
      </c>
      <c r="F88" s="64">
        <v>500000</v>
      </c>
    </row>
    <row r="89" spans="1:8" outlineLevel="1" x14ac:dyDescent="0.35">
      <c r="B89" s="65"/>
      <c r="C89" s="36"/>
      <c r="F89" s="64"/>
    </row>
    <row r="90" spans="1:8" outlineLevel="1" x14ac:dyDescent="0.35">
      <c r="B90" s="66" t="s">
        <v>172</v>
      </c>
      <c r="C90" s="67"/>
      <c r="D90" s="38"/>
      <c r="E90" s="38"/>
      <c r="F90" s="68">
        <f t="array" ref="F90">INDEX(F79:F81,F75)</f>
        <v>450000</v>
      </c>
      <c r="G90" s="69" t="s">
        <v>173</v>
      </c>
      <c r="H90" s="70">
        <f>F90+F91</f>
        <v>900000</v>
      </c>
    </row>
    <row r="91" spans="1:8" outlineLevel="1" x14ac:dyDescent="0.35">
      <c r="B91" s="71" t="s">
        <v>174</v>
      </c>
      <c r="C91" s="72"/>
      <c r="D91" s="72"/>
      <c r="E91" s="72"/>
      <c r="F91" s="73">
        <f t="array" ref="F91">INDEX(F86:F88,F75)</f>
        <v>450000</v>
      </c>
    </row>
    <row r="92" spans="1:8" x14ac:dyDescent="0.35">
      <c r="B92" s="49"/>
      <c r="F92" s="64"/>
    </row>
    <row r="93" spans="1:8" s="38" customFormat="1" ht="21" customHeight="1" x14ac:dyDescent="0.5">
      <c r="A93" s="74" t="s">
        <v>175</v>
      </c>
    </row>
    <row r="94" spans="1:8" ht="17.25" customHeight="1" outlineLevel="1" x14ac:dyDescent="0.5">
      <c r="A94" s="47"/>
    </row>
    <row r="95" spans="1:8" ht="17.25" customHeight="1" outlineLevel="1" x14ac:dyDescent="0.5">
      <c r="A95" s="47"/>
      <c r="B95" s="75" t="s">
        <v>176</v>
      </c>
      <c r="C95" s="75" t="s">
        <v>177</v>
      </c>
      <c r="D95" s="76">
        <v>2027</v>
      </c>
      <c r="E95" s="76"/>
      <c r="F95" s="76">
        <v>2028</v>
      </c>
      <c r="G95" s="76">
        <v>2029</v>
      </c>
    </row>
    <row r="96" spans="1:8" ht="17.25" customHeight="1" outlineLevel="1" x14ac:dyDescent="0.5">
      <c r="A96" s="47"/>
      <c r="B96" s="77" t="s">
        <v>178</v>
      </c>
      <c r="C96" t="s">
        <v>179</v>
      </c>
      <c r="D96" s="78">
        <v>25000</v>
      </c>
      <c r="E96" s="79"/>
      <c r="F96" s="80">
        <f>D96*(20%+1)</f>
        <v>30000</v>
      </c>
      <c r="G96" s="80">
        <f>F96*(20%+1)</f>
        <v>36000</v>
      </c>
    </row>
    <row r="97" spans="1:8" ht="17.25" customHeight="1" outlineLevel="1" x14ac:dyDescent="0.5">
      <c r="A97" s="47"/>
      <c r="B97" s="77" t="s">
        <v>180</v>
      </c>
      <c r="C97" t="s">
        <v>181</v>
      </c>
      <c r="D97" s="78">
        <v>20000</v>
      </c>
      <c r="E97" s="79"/>
      <c r="F97" s="80">
        <f>D97*(20%+1)</f>
        <v>24000</v>
      </c>
      <c r="G97" s="80">
        <f>F97*(20%+1)</f>
        <v>28800</v>
      </c>
    </row>
    <row r="98" spans="1:8" ht="17.25" customHeight="1" outlineLevel="1" x14ac:dyDescent="0.5">
      <c r="A98" s="47"/>
      <c r="B98" s="77" t="s">
        <v>182</v>
      </c>
      <c r="C98" t="s">
        <v>183</v>
      </c>
      <c r="D98" s="78">
        <v>15000</v>
      </c>
      <c r="E98" s="79"/>
      <c r="F98" s="80">
        <f>D98*(10%+1)</f>
        <v>16500</v>
      </c>
      <c r="G98" s="80">
        <f>F98*(10%+1)</f>
        <v>18150</v>
      </c>
    </row>
    <row r="99" spans="1:8" ht="17.25" customHeight="1" outlineLevel="1" x14ac:dyDescent="0.5">
      <c r="A99" s="47"/>
      <c r="B99" s="77" t="s">
        <v>184</v>
      </c>
      <c r="C99" t="s">
        <v>185</v>
      </c>
      <c r="D99" s="78">
        <v>7000</v>
      </c>
      <c r="E99" s="79"/>
      <c r="F99" s="80">
        <f>D99*(10%+1)</f>
        <v>7700.0000000000009</v>
      </c>
      <c r="G99" s="80">
        <f>F99*(10%+1)</f>
        <v>8470.0000000000018</v>
      </c>
    </row>
    <row r="100" spans="1:8" ht="17.25" customHeight="1" outlineLevel="1" x14ac:dyDescent="0.5">
      <c r="A100" s="47"/>
      <c r="B100" s="77" t="s">
        <v>186</v>
      </c>
      <c r="C100" t="s">
        <v>187</v>
      </c>
      <c r="D100" s="78">
        <v>15000</v>
      </c>
      <c r="E100" s="79"/>
      <c r="F100" s="80">
        <f>D100*(10%+1)</f>
        <v>16500</v>
      </c>
      <c r="G100" s="80">
        <f>F100*(10%+1)</f>
        <v>18150</v>
      </c>
    </row>
    <row r="101" spans="1:8" ht="17.25" customHeight="1" outlineLevel="1" x14ac:dyDescent="0.5">
      <c r="A101" s="47"/>
      <c r="B101" s="77" t="s">
        <v>188</v>
      </c>
      <c r="C101" t="s">
        <v>189</v>
      </c>
      <c r="D101" s="78">
        <v>8000</v>
      </c>
      <c r="E101" s="79"/>
      <c r="F101" s="80">
        <f>D101*(10%+1)</f>
        <v>8800</v>
      </c>
      <c r="G101" s="80">
        <f>F101*(10%+1)</f>
        <v>9680</v>
      </c>
    </row>
    <row r="102" spans="1:8" ht="17.25" customHeight="1" outlineLevel="1" x14ac:dyDescent="0.5">
      <c r="A102" s="47"/>
      <c r="B102" s="77" t="s">
        <v>190</v>
      </c>
      <c r="C102" t="s">
        <v>191</v>
      </c>
      <c r="D102" s="78">
        <v>10000</v>
      </c>
      <c r="E102" s="79"/>
      <c r="F102" s="80">
        <f>D102*(10%+1)</f>
        <v>11000</v>
      </c>
      <c r="G102" s="80">
        <f>F102*(10%+1)</f>
        <v>12100.000000000002</v>
      </c>
    </row>
    <row r="103" spans="1:8" ht="17.25" customHeight="1" outlineLevel="1" x14ac:dyDescent="0.5">
      <c r="A103" s="47"/>
      <c r="B103" t="s">
        <v>192</v>
      </c>
      <c r="D103" s="81">
        <f>SUM(D96:D102)</f>
        <v>100000</v>
      </c>
      <c r="E103" s="81"/>
      <c r="F103" s="81">
        <f>SUM(F96:F102)</f>
        <v>114500</v>
      </c>
      <c r="G103" s="81">
        <f>SUM(G96:G102)</f>
        <v>131350</v>
      </c>
    </row>
    <row r="104" spans="1:8" ht="17.25" customHeight="1" outlineLevel="1" x14ac:dyDescent="0.5">
      <c r="A104" s="47"/>
      <c r="B104" t="s">
        <v>193</v>
      </c>
      <c r="D104" s="82">
        <f>D103*12</f>
        <v>1200000</v>
      </c>
      <c r="E104" s="82"/>
      <c r="F104" s="82">
        <f>F103*12</f>
        <v>1374000</v>
      </c>
      <c r="G104" s="82">
        <f>G103*12</f>
        <v>1576200</v>
      </c>
    </row>
    <row r="105" spans="1:8" ht="22.5" customHeight="1" x14ac:dyDescent="0.5">
      <c r="A105" s="47"/>
    </row>
    <row r="106" spans="1:8" s="38" customFormat="1" ht="21" customHeight="1" x14ac:dyDescent="0.5">
      <c r="A106" s="74" t="s">
        <v>194</v>
      </c>
      <c r="B106" s="83"/>
      <c r="C106" s="83"/>
    </row>
    <row r="107" spans="1:8" outlineLevel="1" x14ac:dyDescent="0.35">
      <c r="F107" s="64"/>
    </row>
    <row r="108" spans="1:8" outlineLevel="1" x14ac:dyDescent="0.35">
      <c r="B108" s="84"/>
      <c r="C108" s="85">
        <v>2027</v>
      </c>
      <c r="D108" s="85">
        <v>2028</v>
      </c>
      <c r="E108" s="85"/>
      <c r="F108" s="85">
        <v>2029</v>
      </c>
      <c r="G108" s="49" t="s">
        <v>195</v>
      </c>
    </row>
    <row r="109" spans="1:8" ht="29" outlineLevel="1" x14ac:dyDescent="0.35">
      <c r="B109" s="77" t="s">
        <v>196</v>
      </c>
      <c r="C109" s="78">
        <f t="shared" ref="C109:C117" si="5">G109*$F$24</f>
        <v>4200</v>
      </c>
      <c r="D109" s="78">
        <f t="shared" ref="D109:D117" si="6">G109*$G$24</f>
        <v>8640</v>
      </c>
      <c r="E109" s="78"/>
      <c r="F109" s="78">
        <f t="shared" ref="F109:F117" si="7">G109*$H$24</f>
        <v>15552</v>
      </c>
      <c r="G109" s="79">
        <v>0.5</v>
      </c>
      <c r="H109" s="77"/>
    </row>
    <row r="110" spans="1:8" outlineLevel="1" x14ac:dyDescent="0.35">
      <c r="B110" s="77" t="s">
        <v>197</v>
      </c>
      <c r="C110" s="78">
        <f t="shared" si="5"/>
        <v>84</v>
      </c>
      <c r="D110" s="78">
        <f t="shared" si="6"/>
        <v>172.8</v>
      </c>
      <c r="E110" s="78"/>
      <c r="F110" s="78">
        <f t="shared" si="7"/>
        <v>311.04000000000002</v>
      </c>
      <c r="G110" s="79">
        <v>0.01</v>
      </c>
      <c r="H110" s="77"/>
    </row>
    <row r="111" spans="1:8" outlineLevel="1" x14ac:dyDescent="0.35">
      <c r="B111" s="77" t="s">
        <v>198</v>
      </c>
      <c r="C111" s="78">
        <f t="shared" si="5"/>
        <v>1092</v>
      </c>
      <c r="D111" s="78">
        <f t="shared" si="6"/>
        <v>2246.4</v>
      </c>
      <c r="E111" s="78"/>
      <c r="F111" s="78">
        <f t="shared" si="7"/>
        <v>4043.52</v>
      </c>
      <c r="G111" s="79">
        <v>0.13</v>
      </c>
      <c r="H111" s="77"/>
    </row>
    <row r="112" spans="1:8" outlineLevel="1" x14ac:dyDescent="0.35">
      <c r="B112" s="77" t="s">
        <v>199</v>
      </c>
      <c r="C112" s="78">
        <f t="shared" si="5"/>
        <v>504</v>
      </c>
      <c r="D112" s="78">
        <f t="shared" si="6"/>
        <v>1036.8</v>
      </c>
      <c r="E112" s="78"/>
      <c r="F112" s="78">
        <f t="shared" si="7"/>
        <v>1866.24</v>
      </c>
      <c r="G112" s="79">
        <v>0.06</v>
      </c>
      <c r="H112" s="77"/>
    </row>
    <row r="113" spans="1:8" outlineLevel="1" x14ac:dyDescent="0.35">
      <c r="B113" s="77" t="s">
        <v>200</v>
      </c>
      <c r="C113" s="78">
        <f t="shared" si="5"/>
        <v>336</v>
      </c>
      <c r="D113" s="78">
        <f t="shared" si="6"/>
        <v>691.2</v>
      </c>
      <c r="E113" s="78"/>
      <c r="F113" s="78">
        <f t="shared" si="7"/>
        <v>1244.1600000000001</v>
      </c>
      <c r="G113" s="79">
        <v>0.04</v>
      </c>
      <c r="H113" s="77"/>
    </row>
    <row r="114" spans="1:8" ht="29" outlineLevel="1" x14ac:dyDescent="0.35">
      <c r="B114" s="77" t="s">
        <v>201</v>
      </c>
      <c r="C114" s="78">
        <f t="shared" si="5"/>
        <v>10080</v>
      </c>
      <c r="D114" s="78">
        <f t="shared" si="6"/>
        <v>20736</v>
      </c>
      <c r="E114" s="78"/>
      <c r="F114" s="78">
        <f t="shared" si="7"/>
        <v>37324.799999999996</v>
      </c>
      <c r="G114" s="79">
        <v>1.2</v>
      </c>
      <c r="H114" s="77"/>
    </row>
    <row r="115" spans="1:8" ht="29" outlineLevel="1" x14ac:dyDescent="0.35">
      <c r="B115" s="77" t="s">
        <v>202</v>
      </c>
      <c r="C115" s="78">
        <f t="shared" si="5"/>
        <v>16800</v>
      </c>
      <c r="D115" s="78">
        <f t="shared" si="6"/>
        <v>34560</v>
      </c>
      <c r="E115" s="78"/>
      <c r="F115" s="78">
        <f t="shared" si="7"/>
        <v>62208</v>
      </c>
      <c r="G115" s="79">
        <v>2</v>
      </c>
      <c r="H115" s="77"/>
    </row>
    <row r="116" spans="1:8" outlineLevel="1" x14ac:dyDescent="0.35">
      <c r="B116" s="77" t="s">
        <v>203</v>
      </c>
      <c r="C116" s="78">
        <f t="shared" si="5"/>
        <v>336</v>
      </c>
      <c r="D116" s="78">
        <f t="shared" si="6"/>
        <v>691.2</v>
      </c>
      <c r="E116" s="78"/>
      <c r="F116" s="78">
        <f t="shared" si="7"/>
        <v>1244.1600000000001</v>
      </c>
      <c r="G116" s="79">
        <v>0.04</v>
      </c>
      <c r="H116" s="77"/>
    </row>
    <row r="117" spans="1:8" ht="29" outlineLevel="1" x14ac:dyDescent="0.35">
      <c r="B117" s="77" t="s">
        <v>204</v>
      </c>
      <c r="C117" s="78">
        <f t="shared" si="5"/>
        <v>4200</v>
      </c>
      <c r="D117" s="78">
        <f t="shared" si="6"/>
        <v>8640</v>
      </c>
      <c r="E117" s="78"/>
      <c r="F117" s="78">
        <f t="shared" si="7"/>
        <v>15552</v>
      </c>
      <c r="G117" s="79">
        <v>0.5</v>
      </c>
      <c r="H117" s="77"/>
    </row>
    <row r="118" spans="1:8" outlineLevel="1" x14ac:dyDescent="0.35">
      <c r="B118" s="86" t="s">
        <v>173</v>
      </c>
      <c r="C118" s="87">
        <f>SUM(C109:C117)</f>
        <v>37632</v>
      </c>
      <c r="D118" s="87">
        <f>SUM(D109:E117)</f>
        <v>77414.399999999994</v>
      </c>
      <c r="E118" s="87"/>
      <c r="F118" s="87">
        <f>SUM(F109:F117)</f>
        <v>139345.91999999998</v>
      </c>
      <c r="G118" s="88">
        <f>SUM(G109:G117)</f>
        <v>4.4800000000000004</v>
      </c>
      <c r="H118" s="64"/>
    </row>
    <row r="119" spans="1:8" outlineLevel="1" x14ac:dyDescent="0.35">
      <c r="B119" s="77"/>
      <c r="C119" s="78"/>
      <c r="D119" s="63"/>
      <c r="F119" s="63"/>
    </row>
    <row r="120" spans="1:8" ht="22.5" customHeight="1" x14ac:dyDescent="0.35">
      <c r="B120" s="36"/>
      <c r="F120" s="64"/>
      <c r="G120" s="64"/>
      <c r="H120" s="64"/>
    </row>
    <row r="121" spans="1:8" s="38" customFormat="1" ht="21" customHeight="1" x14ac:dyDescent="0.5">
      <c r="A121" s="89" t="s">
        <v>9</v>
      </c>
      <c r="B121" s="90"/>
      <c r="C121" s="90"/>
      <c r="F121" s="68"/>
    </row>
    <row r="122" spans="1:8" x14ac:dyDescent="0.35">
      <c r="B122" s="36"/>
      <c r="F122" s="64"/>
      <c r="G122" s="64"/>
      <c r="H122" s="64"/>
    </row>
    <row r="123" spans="1:8" outlineLevel="1" x14ac:dyDescent="0.35">
      <c r="B123" s="91" t="s">
        <v>64</v>
      </c>
      <c r="C123" s="85">
        <v>2027</v>
      </c>
      <c r="D123" s="85">
        <v>2028</v>
      </c>
      <c r="E123" s="85"/>
      <c r="F123" s="85">
        <v>2029</v>
      </c>
      <c r="G123" s="64"/>
      <c r="H123" s="64"/>
    </row>
    <row r="124" spans="1:8" outlineLevel="1" x14ac:dyDescent="0.35">
      <c r="B124" s="77" t="s">
        <v>205</v>
      </c>
      <c r="C124" s="78">
        <v>60000</v>
      </c>
      <c r="D124" s="78">
        <v>60000</v>
      </c>
      <c r="E124" s="78"/>
      <c r="F124" s="78">
        <v>60000</v>
      </c>
      <c r="G124" s="64"/>
      <c r="H124" s="64"/>
    </row>
    <row r="125" spans="1:8" outlineLevel="1" x14ac:dyDescent="0.35">
      <c r="B125" s="77" t="s">
        <v>206</v>
      </c>
      <c r="C125" s="78">
        <v>3600</v>
      </c>
      <c r="D125" s="78">
        <v>4200</v>
      </c>
      <c r="E125" s="78"/>
      <c r="F125" s="78">
        <v>4800</v>
      </c>
      <c r="G125" s="64"/>
      <c r="H125" s="64"/>
    </row>
    <row r="126" spans="1:8" outlineLevel="1" x14ac:dyDescent="0.35">
      <c r="B126" s="77" t="s">
        <v>207</v>
      </c>
      <c r="C126" s="78">
        <v>6000</v>
      </c>
      <c r="D126" s="78">
        <v>7000</v>
      </c>
      <c r="E126" s="78"/>
      <c r="F126" s="78">
        <v>8000</v>
      </c>
      <c r="G126" s="64"/>
      <c r="H126" s="64"/>
    </row>
    <row r="127" spans="1:8" outlineLevel="1" x14ac:dyDescent="0.35">
      <c r="B127" s="77" t="s">
        <v>208</v>
      </c>
      <c r="C127" s="78">
        <v>2000</v>
      </c>
      <c r="D127" s="78">
        <v>3000</v>
      </c>
      <c r="E127" s="78"/>
      <c r="F127" s="78">
        <v>4000</v>
      </c>
      <c r="G127" s="64"/>
      <c r="H127" s="64"/>
    </row>
    <row r="128" spans="1:8" ht="28.5" customHeight="1" outlineLevel="1" x14ac:dyDescent="0.35">
      <c r="B128" s="77" t="s">
        <v>209</v>
      </c>
      <c r="C128" s="78">
        <v>12000</v>
      </c>
      <c r="D128" s="78">
        <v>15000</v>
      </c>
      <c r="E128" s="78"/>
      <c r="F128" s="78">
        <v>20000</v>
      </c>
      <c r="G128" s="64"/>
      <c r="H128" s="64"/>
    </row>
    <row r="129" spans="1:11" ht="29" outlineLevel="1" x14ac:dyDescent="0.35">
      <c r="B129" s="77" t="s">
        <v>210</v>
      </c>
      <c r="C129" s="78">
        <v>28800</v>
      </c>
      <c r="D129" s="78">
        <v>43200</v>
      </c>
      <c r="E129" s="78">
        <v>68400</v>
      </c>
      <c r="F129" s="78">
        <v>68400</v>
      </c>
      <c r="G129" s="64"/>
      <c r="H129" s="64"/>
    </row>
    <row r="130" spans="1:11" outlineLevel="1" x14ac:dyDescent="0.35">
      <c r="B130" s="77" t="s">
        <v>211</v>
      </c>
      <c r="C130" s="78">
        <v>6000</v>
      </c>
      <c r="D130" s="78">
        <v>10000</v>
      </c>
      <c r="E130" s="78"/>
      <c r="F130" s="78">
        <v>15000</v>
      </c>
      <c r="G130" s="64"/>
      <c r="H130" s="64"/>
    </row>
    <row r="131" spans="1:11" outlineLevel="1" x14ac:dyDescent="0.35">
      <c r="B131" s="77" t="s">
        <v>212</v>
      </c>
      <c r="C131" s="78">
        <v>6000</v>
      </c>
      <c r="D131" s="78">
        <v>12000</v>
      </c>
      <c r="E131" s="78"/>
      <c r="F131" s="78">
        <v>18000</v>
      </c>
      <c r="G131" s="64"/>
      <c r="H131" s="64"/>
      <c r="K131" s="92"/>
    </row>
    <row r="132" spans="1:11" outlineLevel="1" x14ac:dyDescent="0.35">
      <c r="B132" s="77" t="s">
        <v>213</v>
      </c>
      <c r="C132" s="78">
        <v>10000</v>
      </c>
      <c r="D132" s="78">
        <v>15000</v>
      </c>
      <c r="E132" s="78"/>
      <c r="F132" s="78">
        <v>20000</v>
      </c>
      <c r="G132" s="64"/>
      <c r="H132" s="64"/>
      <c r="K132" s="92"/>
    </row>
    <row r="133" spans="1:11" outlineLevel="1" x14ac:dyDescent="0.35">
      <c r="B133" s="77" t="s">
        <v>214</v>
      </c>
      <c r="C133" s="78">
        <v>10000</v>
      </c>
      <c r="D133" s="78">
        <v>15000</v>
      </c>
      <c r="E133" s="78"/>
      <c r="F133" s="78">
        <v>25000</v>
      </c>
      <c r="G133" s="64"/>
      <c r="H133" s="64"/>
    </row>
    <row r="134" spans="1:11" outlineLevel="1" x14ac:dyDescent="0.35">
      <c r="B134" s="77" t="s">
        <v>215</v>
      </c>
      <c r="C134" s="78">
        <v>24000</v>
      </c>
      <c r="D134" s="78">
        <v>36000</v>
      </c>
      <c r="E134" s="78"/>
      <c r="F134" s="78">
        <v>48000</v>
      </c>
      <c r="G134" s="64"/>
      <c r="H134" s="64"/>
    </row>
    <row r="135" spans="1:11" outlineLevel="1" x14ac:dyDescent="0.35">
      <c r="B135" s="77" t="s">
        <v>216</v>
      </c>
      <c r="C135" s="78">
        <v>15000</v>
      </c>
      <c r="D135" s="78">
        <v>20000</v>
      </c>
      <c r="E135" s="78"/>
      <c r="F135" s="78">
        <v>30000</v>
      </c>
      <c r="G135" s="64"/>
      <c r="H135" s="64"/>
    </row>
    <row r="136" spans="1:11" outlineLevel="1" x14ac:dyDescent="0.35">
      <c r="B136" s="77" t="s">
        <v>217</v>
      </c>
      <c r="C136" s="78">
        <v>24000</v>
      </c>
      <c r="D136" s="78">
        <v>30000</v>
      </c>
      <c r="E136" s="78"/>
      <c r="F136" s="78">
        <v>36000</v>
      </c>
      <c r="G136" s="64"/>
      <c r="H136" s="64"/>
    </row>
    <row r="137" spans="1:11" outlineLevel="1" x14ac:dyDescent="0.35">
      <c r="B137" s="77" t="s">
        <v>218</v>
      </c>
      <c r="C137" s="78">
        <v>5000</v>
      </c>
      <c r="D137" s="78">
        <v>7000</v>
      </c>
      <c r="E137" s="78"/>
      <c r="F137" s="78">
        <v>10000</v>
      </c>
      <c r="G137" s="64"/>
      <c r="H137" s="64"/>
    </row>
    <row r="138" spans="1:11" outlineLevel="1" x14ac:dyDescent="0.35">
      <c r="B138" s="77" t="s">
        <v>219</v>
      </c>
      <c r="C138" s="78">
        <v>5000</v>
      </c>
      <c r="D138" s="78">
        <v>10000</v>
      </c>
      <c r="E138" s="78"/>
      <c r="F138" s="78">
        <v>20000</v>
      </c>
      <c r="G138" s="64"/>
      <c r="H138" s="64"/>
    </row>
    <row r="139" spans="1:11" outlineLevel="1" x14ac:dyDescent="0.35">
      <c r="B139" s="86" t="s">
        <v>173</v>
      </c>
      <c r="C139" s="87">
        <f>SUM(C124:C138)</f>
        <v>217400</v>
      </c>
      <c r="D139" s="87">
        <f>SUM(D124:D138)</f>
        <v>287400</v>
      </c>
      <c r="E139" s="87">
        <f>SUM(E124:E138)</f>
        <v>68400</v>
      </c>
      <c r="F139" s="87">
        <f>SUM(F124:F138)</f>
        <v>387200</v>
      </c>
      <c r="G139" s="64"/>
      <c r="H139" s="64"/>
    </row>
    <row r="140" spans="1:11" s="38" customFormat="1" ht="21" customHeight="1" x14ac:dyDescent="0.5">
      <c r="A140" s="147" t="s">
        <v>10</v>
      </c>
      <c r="B140" s="148"/>
      <c r="C140" s="148"/>
      <c r="D140" s="148"/>
      <c r="E140" s="148"/>
      <c r="F140" s="148"/>
      <c r="G140" s="148"/>
      <c r="H140" s="148"/>
      <c r="I140" s="148"/>
      <c r="J140" s="148"/>
    </row>
    <row r="141" spans="1:11" x14ac:dyDescent="0.35">
      <c r="B141" s="77"/>
      <c r="C141" s="78"/>
      <c r="D141" s="78"/>
      <c r="E141" s="78"/>
      <c r="F141" s="78"/>
      <c r="G141" s="64"/>
      <c r="H141" s="64"/>
    </row>
    <row r="142" spans="1:11" outlineLevel="1" x14ac:dyDescent="0.35">
      <c r="B142" s="84"/>
      <c r="C142" s="85">
        <v>2027</v>
      </c>
      <c r="D142" s="85">
        <v>2028</v>
      </c>
      <c r="E142" s="85"/>
      <c r="F142" s="85">
        <v>2029</v>
      </c>
      <c r="G142" s="64"/>
      <c r="H142" s="64"/>
    </row>
    <row r="143" spans="1:11" outlineLevel="1" x14ac:dyDescent="0.35">
      <c r="B143" s="77" t="s">
        <v>220</v>
      </c>
      <c r="C143" s="78">
        <v>36000</v>
      </c>
      <c r="D143" s="78">
        <v>60000</v>
      </c>
      <c r="E143" s="78"/>
      <c r="F143" s="78">
        <v>90000</v>
      </c>
      <c r="G143" s="64"/>
      <c r="H143" s="64"/>
    </row>
    <row r="144" spans="1:11" outlineLevel="1" x14ac:dyDescent="0.35">
      <c r="B144" s="77" t="s">
        <v>221</v>
      </c>
      <c r="C144" s="78">
        <v>24000</v>
      </c>
      <c r="D144" s="78">
        <v>36000</v>
      </c>
      <c r="E144" s="78"/>
      <c r="F144" s="78">
        <v>60000</v>
      </c>
      <c r="G144" s="64"/>
      <c r="H144" s="64"/>
    </row>
    <row r="145" spans="1:9" outlineLevel="1" x14ac:dyDescent="0.35">
      <c r="B145" s="77" t="s">
        <v>222</v>
      </c>
      <c r="C145" s="78">
        <v>25000</v>
      </c>
      <c r="D145" s="78">
        <v>50000</v>
      </c>
      <c r="E145" s="78"/>
      <c r="F145" s="78">
        <v>75000</v>
      </c>
      <c r="G145" s="64"/>
      <c r="H145" s="64"/>
    </row>
    <row r="146" spans="1:9" outlineLevel="1" x14ac:dyDescent="0.35">
      <c r="B146" s="86" t="s">
        <v>223</v>
      </c>
      <c r="C146" s="87">
        <f>SUM(C143:C145)</f>
        <v>85000</v>
      </c>
      <c r="D146" s="87">
        <f>SUM(D143:D145)</f>
        <v>146000</v>
      </c>
      <c r="E146" s="87">
        <f>SUM(E143:E145)</f>
        <v>0</v>
      </c>
      <c r="F146" s="87">
        <f>SUM(F143:F145)</f>
        <v>225000</v>
      </c>
      <c r="G146" s="64"/>
      <c r="H146" s="64"/>
    </row>
    <row r="147" spans="1:9" s="38" customFormat="1" ht="21" customHeight="1" x14ac:dyDescent="0.5">
      <c r="A147" s="147" t="s">
        <v>224</v>
      </c>
      <c r="B147" s="148"/>
      <c r="C147" s="148"/>
      <c r="D147" s="148"/>
      <c r="E147" s="148"/>
      <c r="F147" s="148"/>
      <c r="G147" s="148"/>
      <c r="H147" s="148"/>
      <c r="I147" s="148"/>
    </row>
    <row r="148" spans="1:9" x14ac:dyDescent="0.35">
      <c r="B148" s="77"/>
      <c r="C148" s="78"/>
      <c r="D148" s="78"/>
      <c r="E148" s="78"/>
      <c r="F148" s="78"/>
      <c r="G148" s="64"/>
      <c r="H148" s="64"/>
    </row>
    <row r="149" spans="1:9" outlineLevel="1" x14ac:dyDescent="0.35">
      <c r="B149" s="84"/>
      <c r="C149" s="85">
        <v>2027</v>
      </c>
      <c r="D149" s="85">
        <v>2028</v>
      </c>
      <c r="E149" s="85"/>
      <c r="F149" s="85">
        <v>2029</v>
      </c>
      <c r="G149" s="64"/>
      <c r="H149" s="64"/>
    </row>
    <row r="150" spans="1:9" outlineLevel="1" x14ac:dyDescent="0.35">
      <c r="B150" s="77" t="s">
        <v>225</v>
      </c>
      <c r="C150" s="78">
        <v>60000</v>
      </c>
      <c r="D150" s="78">
        <v>120000</v>
      </c>
      <c r="E150" s="78"/>
      <c r="F150" s="78">
        <v>180000</v>
      </c>
      <c r="G150" s="64"/>
      <c r="H150" s="64"/>
    </row>
    <row r="151" spans="1:9" outlineLevel="1" x14ac:dyDescent="0.35">
      <c r="B151" s="77" t="s">
        <v>226</v>
      </c>
      <c r="C151" s="78">
        <v>12000</v>
      </c>
      <c r="D151" s="78">
        <v>18000</v>
      </c>
      <c r="E151" s="78"/>
      <c r="F151" s="78">
        <v>24000</v>
      </c>
      <c r="G151" s="64"/>
      <c r="H151" s="64"/>
    </row>
    <row r="152" spans="1:9" outlineLevel="1" x14ac:dyDescent="0.35">
      <c r="B152" s="77" t="s">
        <v>227</v>
      </c>
      <c r="C152" s="78">
        <v>24000</v>
      </c>
      <c r="D152" s="78">
        <v>36000</v>
      </c>
      <c r="E152" s="78"/>
      <c r="F152" s="78">
        <v>48000</v>
      </c>
      <c r="G152" s="64"/>
      <c r="H152" s="64"/>
    </row>
    <row r="153" spans="1:9" outlineLevel="1" x14ac:dyDescent="0.35">
      <c r="B153" s="77" t="s">
        <v>228</v>
      </c>
      <c r="C153" s="78">
        <v>30000</v>
      </c>
      <c r="D153" s="78">
        <v>40000</v>
      </c>
      <c r="E153" s="78"/>
      <c r="F153" s="78">
        <v>60000</v>
      </c>
      <c r="G153" s="64"/>
      <c r="H153" s="64"/>
    </row>
    <row r="154" spans="1:9" outlineLevel="1" x14ac:dyDescent="0.35">
      <c r="B154" s="77" t="s">
        <v>229</v>
      </c>
      <c r="C154" s="78">
        <v>15000</v>
      </c>
      <c r="D154" s="78">
        <v>25000</v>
      </c>
      <c r="E154" s="78"/>
      <c r="F154" s="78">
        <v>40000</v>
      </c>
      <c r="G154" s="64"/>
      <c r="H154" s="64"/>
    </row>
    <row r="155" spans="1:9" outlineLevel="1" x14ac:dyDescent="0.35">
      <c r="B155" s="77" t="s">
        <v>230</v>
      </c>
      <c r="C155" s="78">
        <v>450000</v>
      </c>
      <c r="D155" s="78">
        <v>150000</v>
      </c>
      <c r="E155" s="78"/>
      <c r="F155" s="78">
        <v>100000</v>
      </c>
      <c r="G155" s="64"/>
      <c r="H155" s="64"/>
    </row>
    <row r="156" spans="1:9" outlineLevel="1" x14ac:dyDescent="0.35">
      <c r="B156" s="86" t="s">
        <v>173</v>
      </c>
      <c r="C156" s="87">
        <f>SUM(C150:C155)</f>
        <v>591000</v>
      </c>
      <c r="D156" s="87">
        <f>SUM(D150:D155)</f>
        <v>389000</v>
      </c>
      <c r="E156" s="87"/>
      <c r="F156" s="87">
        <f>SUM(F150:F155)</f>
        <v>452000</v>
      </c>
    </row>
    <row r="157" spans="1:9" outlineLevel="1" x14ac:dyDescent="0.35">
      <c r="B157" s="86"/>
      <c r="C157" s="87"/>
      <c r="D157" s="87"/>
      <c r="E157" s="87"/>
      <c r="F157" s="64"/>
    </row>
    <row r="158" spans="1:9" s="38" customFormat="1" ht="21" customHeight="1" x14ac:dyDescent="0.5">
      <c r="A158" s="74" t="s">
        <v>12</v>
      </c>
      <c r="F158" s="68"/>
    </row>
    <row r="159" spans="1:9" ht="21" customHeight="1" outlineLevel="1" x14ac:dyDescent="0.5">
      <c r="A159" s="47"/>
      <c r="F159" s="93">
        <v>2027</v>
      </c>
      <c r="G159" s="93">
        <v>2028</v>
      </c>
      <c r="H159" s="93">
        <v>2029</v>
      </c>
    </row>
    <row r="160" spans="1:9" outlineLevel="1" x14ac:dyDescent="0.35">
      <c r="B160" s="94" t="s">
        <v>231</v>
      </c>
      <c r="F160" s="95">
        <f>$C$169/3</f>
        <v>16666.666666666668</v>
      </c>
      <c r="G160" s="95">
        <f>$C$169/3</f>
        <v>16666.666666666668</v>
      </c>
      <c r="H160" s="95">
        <f>$C$169/3</f>
        <v>16666.666666666668</v>
      </c>
    </row>
    <row r="161" spans="1:8" outlineLevel="1" x14ac:dyDescent="0.35">
      <c r="B161" s="94" t="s">
        <v>232</v>
      </c>
      <c r="F161" s="95">
        <f>$C$170/3</f>
        <v>14000</v>
      </c>
      <c r="G161" s="95">
        <f>$C$170/3</f>
        <v>14000</v>
      </c>
      <c r="H161" s="95">
        <f>$C$170/3</f>
        <v>14000</v>
      </c>
    </row>
    <row r="162" spans="1:8" outlineLevel="1" x14ac:dyDescent="0.35">
      <c r="B162" t="s">
        <v>233</v>
      </c>
      <c r="F162" s="95">
        <f>$F$90/5</f>
        <v>90000</v>
      </c>
      <c r="G162" s="95">
        <f>$F$90/5</f>
        <v>90000</v>
      </c>
      <c r="H162" s="95">
        <f>$F$90/5</f>
        <v>90000</v>
      </c>
    </row>
    <row r="163" spans="1:8" outlineLevel="1" x14ac:dyDescent="0.35">
      <c r="B163" t="s">
        <v>234</v>
      </c>
      <c r="F163" s="95">
        <f>$F$91/5</f>
        <v>90000</v>
      </c>
      <c r="G163" s="95">
        <f>$F$91/5</f>
        <v>90000</v>
      </c>
      <c r="H163" s="95">
        <f>$F$91/5</f>
        <v>90000</v>
      </c>
    </row>
    <row r="164" spans="1:8" ht="14.25" customHeight="1" outlineLevel="1" x14ac:dyDescent="0.5">
      <c r="A164" s="47"/>
      <c r="B164" s="65" t="s">
        <v>235</v>
      </c>
      <c r="F164" s="96">
        <f>SUM(F160:F163)</f>
        <v>210666.66666666669</v>
      </c>
      <c r="G164" s="96">
        <f>SUM(G160:G163)</f>
        <v>210666.66666666669</v>
      </c>
      <c r="H164" s="96">
        <f>SUM(H160:H163)</f>
        <v>210666.66666666669</v>
      </c>
    </row>
    <row r="165" spans="1:8" x14ac:dyDescent="0.35">
      <c r="F165" s="64"/>
    </row>
    <row r="166" spans="1:8" s="83" customFormat="1" ht="21" customHeight="1" x14ac:dyDescent="0.5">
      <c r="A166" s="74" t="s">
        <v>236</v>
      </c>
      <c r="B166" s="74"/>
      <c r="C166" s="97"/>
      <c r="F166" s="98"/>
      <c r="G166" s="98"/>
      <c r="H166" s="98"/>
    </row>
    <row r="167" spans="1:8" outlineLevel="1" x14ac:dyDescent="0.35">
      <c r="C167" s="36"/>
      <c r="F167" s="99"/>
      <c r="G167" s="99"/>
      <c r="H167" s="99"/>
    </row>
    <row r="168" spans="1:8" outlineLevel="1" x14ac:dyDescent="0.35">
      <c r="C168" s="36">
        <v>2027</v>
      </c>
      <c r="D168" s="36">
        <v>2028</v>
      </c>
      <c r="E168" s="36"/>
      <c r="F168" s="100">
        <v>2029</v>
      </c>
      <c r="G168" s="99"/>
      <c r="H168" s="99"/>
    </row>
    <row r="169" spans="1:8" outlineLevel="1" x14ac:dyDescent="0.35">
      <c r="B169" s="77" t="s">
        <v>237</v>
      </c>
      <c r="C169" s="78">
        <v>50000</v>
      </c>
      <c r="D169" s="78">
        <v>0</v>
      </c>
      <c r="E169" s="78"/>
      <c r="F169" s="78">
        <v>0</v>
      </c>
      <c r="G169" s="101" t="s">
        <v>173</v>
      </c>
      <c r="H169" s="82">
        <f>C169+C170</f>
        <v>92000</v>
      </c>
    </row>
    <row r="170" spans="1:8" outlineLevel="1" x14ac:dyDescent="0.35">
      <c r="B170" s="77" t="s">
        <v>238</v>
      </c>
      <c r="C170" s="78">
        <v>42000</v>
      </c>
      <c r="D170" s="78">
        <v>0</v>
      </c>
      <c r="E170" s="78"/>
      <c r="F170" s="78">
        <v>0</v>
      </c>
    </row>
    <row r="172" spans="1:8" s="38" customFormat="1" ht="21" customHeight="1" x14ac:dyDescent="0.5">
      <c r="A172" s="74" t="s">
        <v>239</v>
      </c>
      <c r="B172" s="56"/>
      <c r="C172" s="67"/>
      <c r="F172" s="102"/>
      <c r="G172" s="102"/>
      <c r="H172" s="102"/>
    </row>
    <row r="173" spans="1:8" outlineLevel="1" x14ac:dyDescent="0.35">
      <c r="C173" s="36"/>
    </row>
    <row r="174" spans="1:8" outlineLevel="1" x14ac:dyDescent="0.35">
      <c r="A174" t="s">
        <v>240</v>
      </c>
      <c r="B174" s="99">
        <v>0.15</v>
      </c>
      <c r="C174" s="36"/>
    </row>
    <row r="175" spans="1:8" outlineLevel="1" x14ac:dyDescent="0.35">
      <c r="A175" t="s">
        <v>241</v>
      </c>
      <c r="B175">
        <v>90</v>
      </c>
      <c r="C175" s="36"/>
    </row>
    <row r="176" spans="1:8" outlineLevel="1" x14ac:dyDescent="0.35">
      <c r="A176" t="s">
        <v>242</v>
      </c>
      <c r="B176">
        <v>60</v>
      </c>
    </row>
    <row r="177" spans="1:8" x14ac:dyDescent="0.35">
      <c r="F177" s="40"/>
      <c r="G177" s="40"/>
      <c r="H177" s="40"/>
    </row>
    <row r="178" spans="1:8" s="38" customFormat="1" ht="21" customHeight="1" x14ac:dyDescent="0.5">
      <c r="A178" s="74" t="s">
        <v>243</v>
      </c>
      <c r="C178" s="66"/>
      <c r="F178" s="103"/>
      <c r="G178" s="103"/>
      <c r="H178" s="103"/>
    </row>
    <row r="179" spans="1:8" outlineLevel="1" x14ac:dyDescent="0.35"/>
    <row r="180" spans="1:8" ht="21" customHeight="1" outlineLevel="1" x14ac:dyDescent="0.5">
      <c r="A180" s="47" t="s">
        <v>168</v>
      </c>
      <c r="B180" s="49"/>
      <c r="C180" s="36"/>
      <c r="D180" s="104">
        <f>H90</f>
        <v>900000</v>
      </c>
      <c r="F180" s="36"/>
      <c r="G180" s="36"/>
      <c r="H180" s="36"/>
    </row>
    <row r="181" spans="1:8" ht="21" customHeight="1" outlineLevel="1" x14ac:dyDescent="0.5">
      <c r="A181" s="47" t="s">
        <v>244</v>
      </c>
      <c r="C181" s="36"/>
      <c r="D181" s="105">
        <f>H169</f>
        <v>92000</v>
      </c>
      <c r="F181" s="63"/>
      <c r="G181" s="63"/>
      <c r="H181" s="63"/>
    </row>
    <row r="182" spans="1:8" ht="21" customHeight="1" outlineLevel="1" x14ac:dyDescent="0.5">
      <c r="A182" s="47" t="s">
        <v>245</v>
      </c>
      <c r="C182" s="36"/>
      <c r="D182" s="106">
        <f>D104+C139+C146+C156</f>
        <v>2093400</v>
      </c>
      <c r="F182" s="63"/>
      <c r="G182" s="63"/>
      <c r="H182" s="63"/>
    </row>
    <row r="183" spans="1:8" ht="21" customHeight="1" outlineLevel="1" x14ac:dyDescent="0.5">
      <c r="A183" s="47" t="s">
        <v>246</v>
      </c>
      <c r="C183" s="36"/>
      <c r="D183" s="106">
        <f>SUM(D180:D182)*10%</f>
        <v>308540</v>
      </c>
      <c r="F183" s="63"/>
      <c r="G183" s="63"/>
      <c r="H183" s="63"/>
    </row>
    <row r="184" spans="1:8" ht="21" customHeight="1" outlineLevel="1" x14ac:dyDescent="0.5">
      <c r="A184" s="107" t="s">
        <v>173</v>
      </c>
      <c r="B184" s="108"/>
      <c r="C184" s="108"/>
      <c r="D184" s="109">
        <f>SUM(D180:D183)</f>
        <v>3393940</v>
      </c>
      <c r="F184" s="64"/>
    </row>
    <row r="185" spans="1:8" x14ac:dyDescent="0.35">
      <c r="F185" s="64"/>
    </row>
    <row r="186" spans="1:8" x14ac:dyDescent="0.35">
      <c r="F186" s="64"/>
    </row>
    <row r="187" spans="1:8" x14ac:dyDescent="0.35">
      <c r="F187" s="64"/>
    </row>
    <row r="188" spans="1:8" x14ac:dyDescent="0.35">
      <c r="F188" s="64"/>
    </row>
    <row r="189" spans="1:8" x14ac:dyDescent="0.35">
      <c r="F189" s="64"/>
    </row>
    <row r="190" spans="1:8" x14ac:dyDescent="0.35">
      <c r="F190" s="64"/>
    </row>
    <row r="191" spans="1:8" x14ac:dyDescent="0.35">
      <c r="F191" s="64"/>
    </row>
    <row r="192" spans="1:8" x14ac:dyDescent="0.35">
      <c r="F192" s="64"/>
    </row>
    <row r="193" spans="6:6" x14ac:dyDescent="0.35">
      <c r="F193" s="64"/>
    </row>
    <row r="194" spans="6:6" x14ac:dyDescent="0.35">
      <c r="F194" s="64"/>
    </row>
    <row r="195" spans="6:6" x14ac:dyDescent="0.35">
      <c r="F195" s="64"/>
    </row>
    <row r="196" spans="6:6" x14ac:dyDescent="0.35">
      <c r="F196" s="64"/>
    </row>
    <row r="197" spans="6:6" x14ac:dyDescent="0.35">
      <c r="F197" s="64"/>
    </row>
    <row r="198" spans="6:6" x14ac:dyDescent="0.35">
      <c r="F198" s="64"/>
    </row>
    <row r="199" spans="6:6" x14ac:dyDescent="0.35">
      <c r="F199" s="64"/>
    </row>
    <row r="200" spans="6:6" x14ac:dyDescent="0.35">
      <c r="F200" s="64"/>
    </row>
    <row r="201" spans="6:6" x14ac:dyDescent="0.35">
      <c r="F201" s="64"/>
    </row>
    <row r="202" spans="6:6" x14ac:dyDescent="0.35">
      <c r="F202" s="64"/>
    </row>
    <row r="203" spans="6:6" x14ac:dyDescent="0.35">
      <c r="F203" s="64"/>
    </row>
    <row r="204" spans="6:6" x14ac:dyDescent="0.35">
      <c r="F204" s="64"/>
    </row>
    <row r="205" spans="6:6" x14ac:dyDescent="0.35">
      <c r="F205" s="64"/>
    </row>
    <row r="206" spans="6:6" x14ac:dyDescent="0.35">
      <c r="F206" s="64"/>
    </row>
    <row r="207" spans="6:6" x14ac:dyDescent="0.35">
      <c r="F207" s="64"/>
    </row>
    <row r="208" spans="6:6" x14ac:dyDescent="0.35">
      <c r="F208" s="64"/>
    </row>
    <row r="209" spans="6:6" x14ac:dyDescent="0.35">
      <c r="F209" s="64"/>
    </row>
    <row r="210" spans="6:6" x14ac:dyDescent="0.35">
      <c r="F210" s="64"/>
    </row>
    <row r="211" spans="6:6" x14ac:dyDescent="0.35">
      <c r="F211" s="64"/>
    </row>
    <row r="212" spans="6:6" x14ac:dyDescent="0.35">
      <c r="F212" s="64"/>
    </row>
    <row r="213" spans="6:6" x14ac:dyDescent="0.35">
      <c r="F213" s="64"/>
    </row>
    <row r="214" spans="6:6" x14ac:dyDescent="0.35">
      <c r="F214" s="64"/>
    </row>
    <row r="215" spans="6:6" x14ac:dyDescent="0.35">
      <c r="F215" s="64"/>
    </row>
    <row r="216" spans="6:6" x14ac:dyDescent="0.35">
      <c r="F216" s="64"/>
    </row>
    <row r="217" spans="6:6" x14ac:dyDescent="0.35">
      <c r="F217" s="64"/>
    </row>
    <row r="218" spans="6:6" x14ac:dyDescent="0.35">
      <c r="F218" s="64"/>
    </row>
    <row r="219" spans="6:6" x14ac:dyDescent="0.35">
      <c r="F219" s="64"/>
    </row>
    <row r="220" spans="6:6" x14ac:dyDescent="0.35">
      <c r="F220" s="64"/>
    </row>
    <row r="221" spans="6:6" x14ac:dyDescent="0.35">
      <c r="F221" s="64"/>
    </row>
    <row r="222" spans="6:6" x14ac:dyDescent="0.35">
      <c r="F222" s="64"/>
    </row>
    <row r="223" spans="6:6" x14ac:dyDescent="0.35">
      <c r="F223" s="64"/>
    </row>
    <row r="224" spans="6:6" x14ac:dyDescent="0.35">
      <c r="F224" s="64"/>
    </row>
    <row r="225" spans="6:6" x14ac:dyDescent="0.35">
      <c r="F225" s="64"/>
    </row>
    <row r="226" spans="6:6" x14ac:dyDescent="0.35">
      <c r="F226" s="64"/>
    </row>
    <row r="227" spans="6:6" x14ac:dyDescent="0.35">
      <c r="F227" s="64"/>
    </row>
    <row r="228" spans="6:6" x14ac:dyDescent="0.35">
      <c r="F228" s="64"/>
    </row>
    <row r="229" spans="6:6" x14ac:dyDescent="0.35">
      <c r="F229" s="64"/>
    </row>
    <row r="230" spans="6:6" x14ac:dyDescent="0.35">
      <c r="F230" s="64"/>
    </row>
    <row r="231" spans="6:6" x14ac:dyDescent="0.35">
      <c r="F231" s="64"/>
    </row>
    <row r="232" spans="6:6" x14ac:dyDescent="0.35">
      <c r="F232" s="64"/>
    </row>
    <row r="233" spans="6:6" x14ac:dyDescent="0.35">
      <c r="F233" s="64"/>
    </row>
    <row r="234" spans="6:6" x14ac:dyDescent="0.35">
      <c r="F234" s="64"/>
    </row>
    <row r="235" spans="6:6" x14ac:dyDescent="0.35">
      <c r="F235" s="64"/>
    </row>
    <row r="236" spans="6:6" x14ac:dyDescent="0.35">
      <c r="F236" s="64"/>
    </row>
    <row r="237" spans="6:6" x14ac:dyDescent="0.35">
      <c r="F237" s="64"/>
    </row>
    <row r="238" spans="6:6" x14ac:dyDescent="0.35">
      <c r="F238" s="64"/>
    </row>
    <row r="239" spans="6:6" x14ac:dyDescent="0.35">
      <c r="F239" s="64"/>
    </row>
    <row r="240" spans="6:6" x14ac:dyDescent="0.35">
      <c r="F240" s="64"/>
    </row>
    <row r="241" spans="6:6" x14ac:dyDescent="0.35">
      <c r="F241" s="64"/>
    </row>
    <row r="242" spans="6:6" x14ac:dyDescent="0.35">
      <c r="F242" s="64"/>
    </row>
    <row r="243" spans="6:6" x14ac:dyDescent="0.35">
      <c r="F243" s="64"/>
    </row>
    <row r="244" spans="6:6" x14ac:dyDescent="0.35">
      <c r="F244" s="64"/>
    </row>
    <row r="245" spans="6:6" x14ac:dyDescent="0.35">
      <c r="F245" s="64"/>
    </row>
    <row r="246" spans="6:6" x14ac:dyDescent="0.35">
      <c r="F246" s="64"/>
    </row>
    <row r="247" spans="6:6" x14ac:dyDescent="0.35">
      <c r="F247" s="64"/>
    </row>
    <row r="248" spans="6:6" x14ac:dyDescent="0.35">
      <c r="F248" s="64"/>
    </row>
    <row r="249" spans="6:6" x14ac:dyDescent="0.35">
      <c r="F249" s="64"/>
    </row>
    <row r="250" spans="6:6" x14ac:dyDescent="0.35">
      <c r="F250" s="64"/>
    </row>
    <row r="251" spans="6:6" x14ac:dyDescent="0.35">
      <c r="F251" s="64"/>
    </row>
    <row r="252" spans="6:6" x14ac:dyDescent="0.35">
      <c r="F252" s="64"/>
    </row>
    <row r="253" spans="6:6" x14ac:dyDescent="0.35">
      <c r="F253" s="64"/>
    </row>
    <row r="254" spans="6:6" x14ac:dyDescent="0.35">
      <c r="F254" s="64"/>
    </row>
    <row r="255" spans="6:6" x14ac:dyDescent="0.35">
      <c r="F255" s="64"/>
    </row>
    <row r="256" spans="6:6" x14ac:dyDescent="0.35">
      <c r="F256" s="64"/>
    </row>
    <row r="257" spans="6:6" x14ac:dyDescent="0.35">
      <c r="F257" s="64"/>
    </row>
    <row r="258" spans="6:6" x14ac:dyDescent="0.35">
      <c r="F258" s="64"/>
    </row>
    <row r="259" spans="6:6" x14ac:dyDescent="0.35">
      <c r="F259" s="64"/>
    </row>
    <row r="260" spans="6:6" x14ac:dyDescent="0.35">
      <c r="F260" s="64"/>
    </row>
    <row r="261" spans="6:6" x14ac:dyDescent="0.35">
      <c r="F261" s="64"/>
    </row>
    <row r="262" spans="6:6" x14ac:dyDescent="0.35">
      <c r="F262" s="64"/>
    </row>
    <row r="263" spans="6:6" x14ac:dyDescent="0.35">
      <c r="F263" s="64"/>
    </row>
    <row r="264" spans="6:6" x14ac:dyDescent="0.35">
      <c r="F264" s="64"/>
    </row>
    <row r="265" spans="6:6" x14ac:dyDescent="0.35">
      <c r="F265" s="64"/>
    </row>
    <row r="266" spans="6:6" x14ac:dyDescent="0.35">
      <c r="F266" s="64"/>
    </row>
    <row r="267" spans="6:6" x14ac:dyDescent="0.35">
      <c r="F267" s="64"/>
    </row>
    <row r="268" spans="6:6" x14ac:dyDescent="0.35">
      <c r="F268" s="64"/>
    </row>
    <row r="269" spans="6:6" x14ac:dyDescent="0.35">
      <c r="F269" s="64"/>
    </row>
    <row r="270" spans="6:6" x14ac:dyDescent="0.35">
      <c r="F270" s="64"/>
    </row>
    <row r="271" spans="6:6" x14ac:dyDescent="0.35">
      <c r="F271" s="64"/>
    </row>
    <row r="272" spans="6:6" x14ac:dyDescent="0.35">
      <c r="F272" s="64"/>
    </row>
    <row r="273" spans="6:6" x14ac:dyDescent="0.35">
      <c r="F273" s="64"/>
    </row>
    <row r="274" spans="6:6" x14ac:dyDescent="0.35">
      <c r="F274" s="64"/>
    </row>
    <row r="275" spans="6:6" x14ac:dyDescent="0.35">
      <c r="F275" s="64"/>
    </row>
    <row r="276" spans="6:6" x14ac:dyDescent="0.35">
      <c r="F276" s="64"/>
    </row>
    <row r="277" spans="6:6" x14ac:dyDescent="0.35">
      <c r="F277" s="64"/>
    </row>
    <row r="278" spans="6:6" x14ac:dyDescent="0.35">
      <c r="F278" s="64"/>
    </row>
    <row r="279" spans="6:6" x14ac:dyDescent="0.35">
      <c r="F279" s="64"/>
    </row>
    <row r="280" spans="6:6" x14ac:dyDescent="0.35">
      <c r="F280" s="64"/>
    </row>
    <row r="281" spans="6:6" x14ac:dyDescent="0.35">
      <c r="F281" s="64"/>
    </row>
    <row r="282" spans="6:6" x14ac:dyDescent="0.35">
      <c r="F282" s="64"/>
    </row>
    <row r="283" spans="6:6" x14ac:dyDescent="0.35">
      <c r="F283" s="64"/>
    </row>
    <row r="284" spans="6:6" x14ac:dyDescent="0.35">
      <c r="F284" s="64"/>
    </row>
    <row r="285" spans="6:6" x14ac:dyDescent="0.35">
      <c r="F285" s="64"/>
    </row>
    <row r="286" spans="6:6" x14ac:dyDescent="0.35">
      <c r="F286" s="64"/>
    </row>
    <row r="287" spans="6:6" x14ac:dyDescent="0.35">
      <c r="F287" s="64"/>
    </row>
    <row r="288" spans="6:6" x14ac:dyDescent="0.35">
      <c r="F288" s="64"/>
    </row>
    <row r="289" spans="6:6" x14ac:dyDescent="0.35">
      <c r="F289" s="64"/>
    </row>
    <row r="290" spans="6:6" x14ac:dyDescent="0.35">
      <c r="F290" s="64"/>
    </row>
    <row r="291" spans="6:6" x14ac:dyDescent="0.35">
      <c r="F291" s="64"/>
    </row>
    <row r="292" spans="6:6" x14ac:dyDescent="0.35">
      <c r="F292" s="64"/>
    </row>
    <row r="293" spans="6:6" x14ac:dyDescent="0.35">
      <c r="F293" s="64"/>
    </row>
    <row r="294" spans="6:6" x14ac:dyDescent="0.35">
      <c r="F294" s="64"/>
    </row>
    <row r="295" spans="6:6" x14ac:dyDescent="0.35">
      <c r="F295" s="64"/>
    </row>
    <row r="296" spans="6:6" x14ac:dyDescent="0.35">
      <c r="F296" s="64"/>
    </row>
    <row r="297" spans="6:6" x14ac:dyDescent="0.35">
      <c r="F297" s="64"/>
    </row>
    <row r="298" spans="6:6" x14ac:dyDescent="0.35">
      <c r="F298" s="64"/>
    </row>
    <row r="299" spans="6:6" x14ac:dyDescent="0.35">
      <c r="F299" s="64"/>
    </row>
    <row r="300" spans="6:6" x14ac:dyDescent="0.35">
      <c r="F300" s="64"/>
    </row>
    <row r="301" spans="6:6" x14ac:dyDescent="0.35">
      <c r="F301" s="64"/>
    </row>
    <row r="302" spans="6:6" x14ac:dyDescent="0.35">
      <c r="F302" s="64"/>
    </row>
    <row r="303" spans="6:6" x14ac:dyDescent="0.35">
      <c r="F303" s="64"/>
    </row>
    <row r="304" spans="6:6" x14ac:dyDescent="0.35">
      <c r="F304" s="64"/>
    </row>
    <row r="305" spans="6:6" x14ac:dyDescent="0.35">
      <c r="F305" s="64"/>
    </row>
    <row r="306" spans="6:6" x14ac:dyDescent="0.35">
      <c r="F306" s="64"/>
    </row>
    <row r="307" spans="6:6" x14ac:dyDescent="0.35">
      <c r="F307" s="64"/>
    </row>
    <row r="308" spans="6:6" x14ac:dyDescent="0.35">
      <c r="F308" s="64"/>
    </row>
    <row r="309" spans="6:6" x14ac:dyDescent="0.35">
      <c r="F309" s="64"/>
    </row>
    <row r="310" spans="6:6" x14ac:dyDescent="0.35">
      <c r="F310" s="64"/>
    </row>
    <row r="311" spans="6:6" x14ac:dyDescent="0.35">
      <c r="F311" s="64"/>
    </row>
    <row r="312" spans="6:6" x14ac:dyDescent="0.35">
      <c r="F312" s="64"/>
    </row>
    <row r="313" spans="6:6" x14ac:dyDescent="0.35">
      <c r="F313" s="64"/>
    </row>
    <row r="314" spans="6:6" x14ac:dyDescent="0.35">
      <c r="F314" s="64"/>
    </row>
    <row r="315" spans="6:6" x14ac:dyDescent="0.35">
      <c r="F315" s="64"/>
    </row>
    <row r="316" spans="6:6" x14ac:dyDescent="0.35">
      <c r="F316" s="64"/>
    </row>
    <row r="317" spans="6:6" x14ac:dyDescent="0.35">
      <c r="F317" s="64"/>
    </row>
    <row r="318" spans="6:6" x14ac:dyDescent="0.35">
      <c r="F318" s="64"/>
    </row>
    <row r="319" spans="6:6" x14ac:dyDescent="0.35">
      <c r="F319" s="64"/>
    </row>
    <row r="320" spans="6:6" x14ac:dyDescent="0.35">
      <c r="F320" s="64"/>
    </row>
    <row r="321" spans="6:6" x14ac:dyDescent="0.35">
      <c r="F321" s="64"/>
    </row>
    <row r="322" spans="6:6" x14ac:dyDescent="0.35">
      <c r="F322" s="64"/>
    </row>
    <row r="323" spans="6:6" x14ac:dyDescent="0.35">
      <c r="F323" s="64"/>
    </row>
    <row r="324" spans="6:6" x14ac:dyDescent="0.35">
      <c r="F324" s="64"/>
    </row>
    <row r="325" spans="6:6" x14ac:dyDescent="0.35">
      <c r="F325" s="64"/>
    </row>
    <row r="326" spans="6:6" x14ac:dyDescent="0.35">
      <c r="F326" s="64"/>
    </row>
    <row r="327" spans="6:6" x14ac:dyDescent="0.35">
      <c r="F327" s="64"/>
    </row>
    <row r="328" spans="6:6" x14ac:dyDescent="0.35">
      <c r="F328" s="64"/>
    </row>
    <row r="329" spans="6:6" x14ac:dyDescent="0.35">
      <c r="F329" s="64"/>
    </row>
    <row r="330" spans="6:6" x14ac:dyDescent="0.35">
      <c r="F330" s="64"/>
    </row>
    <row r="331" spans="6:6" x14ac:dyDescent="0.35">
      <c r="F331" s="64"/>
    </row>
    <row r="332" spans="6:6" x14ac:dyDescent="0.35">
      <c r="F332" s="64"/>
    </row>
    <row r="333" spans="6:6" x14ac:dyDescent="0.35">
      <c r="F333" s="64"/>
    </row>
    <row r="334" spans="6:6" x14ac:dyDescent="0.35">
      <c r="F334" s="64"/>
    </row>
    <row r="335" spans="6:6" x14ac:dyDescent="0.35">
      <c r="F335" s="64"/>
    </row>
    <row r="336" spans="6:6" x14ac:dyDescent="0.35">
      <c r="F336" s="64"/>
    </row>
    <row r="337" spans="6:6" x14ac:dyDescent="0.35">
      <c r="F337" s="64"/>
    </row>
    <row r="338" spans="6:6" x14ac:dyDescent="0.35">
      <c r="F338" s="64"/>
    </row>
    <row r="339" spans="6:6" x14ac:dyDescent="0.35">
      <c r="F339" s="64"/>
    </row>
    <row r="340" spans="6:6" x14ac:dyDescent="0.35">
      <c r="F340" s="64"/>
    </row>
    <row r="341" spans="6:6" x14ac:dyDescent="0.35">
      <c r="F341" s="64"/>
    </row>
    <row r="342" spans="6:6" x14ac:dyDescent="0.35">
      <c r="F342" s="64"/>
    </row>
    <row r="343" spans="6:6" x14ac:dyDescent="0.35">
      <c r="F343" s="64"/>
    </row>
    <row r="344" spans="6:6" x14ac:dyDescent="0.35">
      <c r="F344" s="64"/>
    </row>
    <row r="345" spans="6:6" x14ac:dyDescent="0.35">
      <c r="F345" s="64"/>
    </row>
    <row r="346" spans="6:6" x14ac:dyDescent="0.35">
      <c r="F346" s="64"/>
    </row>
    <row r="347" spans="6:6" x14ac:dyDescent="0.35">
      <c r="F347" s="64"/>
    </row>
    <row r="348" spans="6:6" x14ac:dyDescent="0.35">
      <c r="F348" s="64"/>
    </row>
    <row r="349" spans="6:6" x14ac:dyDescent="0.35">
      <c r="F349" s="64"/>
    </row>
    <row r="350" spans="6:6" x14ac:dyDescent="0.35">
      <c r="F350" s="64"/>
    </row>
    <row r="351" spans="6:6" x14ac:dyDescent="0.35">
      <c r="F351" s="64"/>
    </row>
    <row r="352" spans="6:6" x14ac:dyDescent="0.35">
      <c r="F352" s="64"/>
    </row>
    <row r="353" spans="6:6" x14ac:dyDescent="0.35">
      <c r="F353" s="64"/>
    </row>
    <row r="354" spans="6:6" x14ac:dyDescent="0.35">
      <c r="F354" s="64"/>
    </row>
    <row r="355" spans="6:6" x14ac:dyDescent="0.35">
      <c r="F355" s="64"/>
    </row>
  </sheetData>
  <mergeCells count="9">
    <mergeCell ref="A147:I147"/>
    <mergeCell ref="A69:O69"/>
    <mergeCell ref="A7:O7"/>
    <mergeCell ref="A1:O4"/>
    <mergeCell ref="A5:F5"/>
    <mergeCell ref="A140:J140"/>
    <mergeCell ref="A37:O37"/>
    <mergeCell ref="A70:O70"/>
    <mergeCell ref="A72:C72"/>
  </mergeCells>
  <pageMargins left="0.75" right="0.75" top="1" bottom="1"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7"/>
  <sheetViews>
    <sheetView showGridLines="0" tabSelected="1" zoomScale="95" zoomScaleNormal="95" workbookViewId="0"/>
  </sheetViews>
  <sheetFormatPr defaultColWidth="8.6328125" defaultRowHeight="14.5" x14ac:dyDescent="0.35"/>
  <cols>
    <col min="8" max="8" width="11.1796875" customWidth="1"/>
    <col min="9" max="9" width="13.26953125" customWidth="1"/>
    <col min="10" max="10" width="12.90625" customWidth="1"/>
    <col min="11" max="11" width="13.6328125" customWidth="1"/>
  </cols>
  <sheetData>
    <row r="1" spans="1:10" s="111" customFormat="1" ht="21" customHeight="1" x14ac:dyDescent="0.5">
      <c r="A1" s="110" t="s">
        <v>0</v>
      </c>
    </row>
    <row r="2" spans="1:10" x14ac:dyDescent="0.35">
      <c r="C2" s="49" t="s">
        <v>1</v>
      </c>
      <c r="H2" s="39">
        <v>2027</v>
      </c>
      <c r="I2" s="39">
        <v>2028</v>
      </c>
      <c r="J2" s="39">
        <v>2029</v>
      </c>
    </row>
    <row r="3" spans="1:10" x14ac:dyDescent="0.35">
      <c r="D3" s="36" t="str">
        <f>Assumptions!C64</f>
        <v>Cars</v>
      </c>
      <c r="E3" s="36"/>
      <c r="F3" s="36"/>
      <c r="G3" s="36"/>
      <c r="H3" s="64">
        <f>Assumptions!F64</f>
        <v>1638000</v>
      </c>
      <c r="I3" s="64">
        <f>Assumptions!G64</f>
        <v>3369600</v>
      </c>
      <c r="J3" s="64">
        <f>Assumptions!H64</f>
        <v>6065280</v>
      </c>
    </row>
    <row r="4" spans="1:10" x14ac:dyDescent="0.35">
      <c r="D4" s="36" t="str">
        <f>Assumptions!C65</f>
        <v>Tickit</v>
      </c>
      <c r="E4" s="36"/>
      <c r="F4" s="36"/>
      <c r="G4" s="36"/>
      <c r="H4" s="64">
        <f>Assumptions!F65</f>
        <v>1646400</v>
      </c>
      <c r="I4" s="64">
        <f>Assumptions!G65</f>
        <v>3386880</v>
      </c>
      <c r="J4" s="64">
        <f>Assumptions!H65</f>
        <v>6096384</v>
      </c>
    </row>
    <row r="5" spans="1:10" x14ac:dyDescent="0.35">
      <c r="D5" s="36" t="str">
        <f>Assumptions!C66</f>
        <v>Hotels</v>
      </c>
      <c r="E5" s="36"/>
      <c r="F5" s="36"/>
      <c r="G5" s="36"/>
      <c r="H5" s="64">
        <f>Assumptions!F66</f>
        <v>2688000</v>
      </c>
      <c r="I5" s="64">
        <f>Assumptions!G66</f>
        <v>5529600</v>
      </c>
      <c r="J5" s="64">
        <f>Assumptions!H66</f>
        <v>9953280</v>
      </c>
    </row>
    <row r="6" spans="1:10" x14ac:dyDescent="0.35">
      <c r="C6" s="49" t="s">
        <v>2</v>
      </c>
      <c r="D6" s="49"/>
      <c r="E6" s="49"/>
      <c r="F6" s="49"/>
      <c r="G6" s="49"/>
      <c r="H6" s="112">
        <f>SUM(H3:H5)</f>
        <v>5972400</v>
      </c>
      <c r="I6" s="112">
        <f>SUM(I3:I5)</f>
        <v>12286080</v>
      </c>
      <c r="J6" s="112">
        <f>SUM(J3:J5)</f>
        <v>22114944</v>
      </c>
    </row>
    <row r="7" spans="1:10" x14ac:dyDescent="0.35">
      <c r="C7" s="49" t="s">
        <v>3</v>
      </c>
    </row>
    <row r="8" spans="1:10" x14ac:dyDescent="0.35">
      <c r="D8" s="36" t="str">
        <f>Assumptions!B109</f>
        <v>SMS / OTP Verification API (Taqnyat/Unifonic)</v>
      </c>
      <c r="H8" s="64">
        <f>Assumptions!C109</f>
        <v>4200</v>
      </c>
      <c r="I8" s="64">
        <f>Assumptions!D109</f>
        <v>8640</v>
      </c>
      <c r="J8" s="64">
        <f>Assumptions!F109</f>
        <v>15552</v>
      </c>
    </row>
    <row r="9" spans="1:10" x14ac:dyDescent="0.35">
      <c r="D9" s="36" t="str">
        <f>Assumptions!B110</f>
        <v>Email API</v>
      </c>
      <c r="H9" s="64">
        <f>Assumptions!C110</f>
        <v>84</v>
      </c>
      <c r="I9" s="64">
        <f>Assumptions!D110</f>
        <v>172.8</v>
      </c>
      <c r="J9" s="64">
        <f>Assumptions!F110</f>
        <v>311.04000000000002</v>
      </c>
    </row>
    <row r="10" spans="1:10" x14ac:dyDescent="0.35">
      <c r="D10" s="36" t="str">
        <f>Assumptions!B111</f>
        <v>Maps API</v>
      </c>
      <c r="H10" s="64">
        <f>Assumptions!C111</f>
        <v>1092</v>
      </c>
      <c r="I10" s="64">
        <f>Assumptions!D111</f>
        <v>2246.4</v>
      </c>
      <c r="J10" s="64">
        <f>Assumptions!F111</f>
        <v>4043.52</v>
      </c>
    </row>
    <row r="11" spans="1:10" x14ac:dyDescent="0.35">
      <c r="D11" s="36" t="str">
        <f>Assumptions!B112</f>
        <v>AI API Usage</v>
      </c>
      <c r="H11" s="64">
        <f>Assumptions!C112</f>
        <v>504</v>
      </c>
      <c r="I11" s="64">
        <f>Assumptions!D112</f>
        <v>1036.8</v>
      </c>
      <c r="J11" s="64">
        <f>Assumptions!F112</f>
        <v>1866.24</v>
      </c>
    </row>
    <row r="12" spans="1:10" x14ac:dyDescent="0.35">
      <c r="D12" s="36" t="str">
        <f>Assumptions!B113</f>
        <v>Translation AI</v>
      </c>
      <c r="H12" s="64">
        <f>Assumptions!C113</f>
        <v>336</v>
      </c>
      <c r="I12" s="64">
        <f>Assumptions!D113</f>
        <v>691.2</v>
      </c>
      <c r="J12" s="64">
        <f>Assumptions!F113</f>
        <v>1244.1600000000001</v>
      </c>
    </row>
    <row r="13" spans="1:10" x14ac:dyDescent="0.35">
      <c r="D13" s="36" t="str">
        <f>Assumptions!B114</f>
        <v>WhatsApp Business API &amp; Bot Messaging (Meta/Twilio)</v>
      </c>
      <c r="H13" s="64">
        <f>Assumptions!C114</f>
        <v>10080</v>
      </c>
      <c r="I13" s="64">
        <f>Assumptions!D114</f>
        <v>20736</v>
      </c>
      <c r="J13" s="64">
        <f>Assumptions!F114</f>
        <v>37324.799999999996</v>
      </c>
    </row>
    <row r="14" spans="1:10" x14ac:dyDescent="0.35">
      <c r="D14" s="36" t="str">
        <f>Assumptions!B115</f>
        <v>SCCC / TopNet Cloud Storage (OSS &amp; Media Files per guest)</v>
      </c>
      <c r="H14" s="64">
        <f>Assumptions!C115</f>
        <v>16800</v>
      </c>
      <c r="I14" s="64">
        <f>Assumptions!D115</f>
        <v>34560</v>
      </c>
      <c r="J14" s="64">
        <f>Assumptions!F115</f>
        <v>62208</v>
      </c>
    </row>
    <row r="15" spans="1:10" x14ac:dyDescent="0.35">
      <c r="D15" s="36" t="str">
        <f>Assumptions!B116</f>
        <v>Push Notifications</v>
      </c>
      <c r="H15" s="64">
        <f>Assumptions!C116</f>
        <v>336</v>
      </c>
      <c r="I15" s="64">
        <f>Assumptions!D116</f>
        <v>691.2</v>
      </c>
      <c r="J15" s="64">
        <f>Assumptions!F116</f>
        <v>1244.1600000000001</v>
      </c>
    </row>
    <row r="16" spans="1:10" x14ac:dyDescent="0.35">
      <c r="D16" s="36" t="str">
        <f>Assumptions!B117</f>
        <v>Cloud CDN &amp; Edge Bandwidth (SCCC / TopNet Edge)</v>
      </c>
      <c r="H16" s="64">
        <f>Assumptions!C117</f>
        <v>4200</v>
      </c>
      <c r="I16" s="64">
        <f>Assumptions!D117</f>
        <v>8640</v>
      </c>
      <c r="J16" s="64">
        <f>Assumptions!F117</f>
        <v>15552</v>
      </c>
    </row>
    <row r="17" spans="1:10" x14ac:dyDescent="0.35">
      <c r="C17" s="49" t="s">
        <v>4</v>
      </c>
      <c r="H17" s="113">
        <f>SUM(H8:H16)</f>
        <v>37632</v>
      </c>
      <c r="I17" s="113">
        <f>SUM(I8:I16)</f>
        <v>77414.399999999994</v>
      </c>
      <c r="J17" s="113">
        <f>SUM(J8:J16)</f>
        <v>139345.91999999998</v>
      </c>
    </row>
    <row r="18" spans="1:10" x14ac:dyDescent="0.35">
      <c r="C18" s="49" t="s">
        <v>5</v>
      </c>
      <c r="H18" s="114">
        <f>H6-H17</f>
        <v>5934768</v>
      </c>
      <c r="I18" s="114">
        <f>I6-I17</f>
        <v>12208665.6</v>
      </c>
      <c r="J18" s="114">
        <f>J6-J17</f>
        <v>21975598.079999998</v>
      </c>
    </row>
    <row r="19" spans="1:10" x14ac:dyDescent="0.35">
      <c r="C19" s="49" t="s">
        <v>6</v>
      </c>
      <c r="H19" s="115">
        <f>H18/H6</f>
        <v>0.99369901547116735</v>
      </c>
      <c r="I19" s="115">
        <f>I18/I6</f>
        <v>0.99369901547116735</v>
      </c>
      <c r="J19" s="115">
        <f>J18/J6</f>
        <v>0.99369901547116724</v>
      </c>
    </row>
    <row r="20" spans="1:10" x14ac:dyDescent="0.35">
      <c r="C20" s="49" t="s">
        <v>7</v>
      </c>
    </row>
    <row r="21" spans="1:10" x14ac:dyDescent="0.35">
      <c r="D21" s="64" t="s">
        <v>8</v>
      </c>
      <c r="H21" s="64">
        <f>Assumptions!$D$104</f>
        <v>1200000</v>
      </c>
      <c r="I21" s="64">
        <f>Assumptions!F104</f>
        <v>1374000</v>
      </c>
      <c r="J21" s="64">
        <f>Assumptions!G104</f>
        <v>1576200</v>
      </c>
    </row>
    <row r="22" spans="1:10" x14ac:dyDescent="0.35">
      <c r="D22" s="64" t="s">
        <v>9</v>
      </c>
      <c r="H22" s="64">
        <f>Assumptions!C139</f>
        <v>217400</v>
      </c>
      <c r="I22" s="64">
        <f>Assumptions!D139</f>
        <v>287400</v>
      </c>
      <c r="J22" s="64">
        <f>Assumptions!$F$139</f>
        <v>387200</v>
      </c>
    </row>
    <row r="23" spans="1:10" x14ac:dyDescent="0.35">
      <c r="D23" s="64" t="s">
        <v>10</v>
      </c>
      <c r="H23" s="64">
        <f>Assumptions!C146</f>
        <v>85000</v>
      </c>
      <c r="I23" s="64">
        <f>Assumptions!D146</f>
        <v>146000</v>
      </c>
      <c r="J23" s="64">
        <f>Assumptions!$F$146</f>
        <v>225000</v>
      </c>
    </row>
    <row r="24" spans="1:10" x14ac:dyDescent="0.35">
      <c r="D24" s="64" t="s">
        <v>11</v>
      </c>
      <c r="H24" s="64">
        <f>Assumptions!C156</f>
        <v>591000</v>
      </c>
      <c r="I24" s="64">
        <f>Assumptions!D156</f>
        <v>389000</v>
      </c>
      <c r="J24" s="64">
        <f>Assumptions!$F$156</f>
        <v>452000</v>
      </c>
    </row>
    <row r="25" spans="1:10" x14ac:dyDescent="0.35">
      <c r="D25" s="64" t="s">
        <v>12</v>
      </c>
      <c r="H25" s="64">
        <f>Assumptions!F164</f>
        <v>210666.66666666669</v>
      </c>
      <c r="I25" s="64">
        <f>Assumptions!G164</f>
        <v>210666.66666666669</v>
      </c>
      <c r="J25" s="64">
        <f>Assumptions!H164</f>
        <v>210666.66666666669</v>
      </c>
    </row>
    <row r="26" spans="1:10" x14ac:dyDescent="0.35">
      <c r="C26" s="49" t="s">
        <v>13</v>
      </c>
      <c r="D26" s="50"/>
      <c r="E26" s="49"/>
      <c r="F26" s="49"/>
      <c r="G26" s="49"/>
      <c r="H26" s="116">
        <f>SUM(H21:H25)</f>
        <v>2304066.6666666665</v>
      </c>
      <c r="I26" s="116">
        <f>SUM(I21:I25)</f>
        <v>2407066.6666666665</v>
      </c>
      <c r="J26" s="116">
        <f>SUM(J21:J25)</f>
        <v>2851066.6666666665</v>
      </c>
    </row>
    <row r="27" spans="1:10" x14ac:dyDescent="0.35">
      <c r="C27" s="56" t="s">
        <v>14</v>
      </c>
      <c r="D27" s="67"/>
      <c r="E27" s="38"/>
      <c r="F27" s="38"/>
      <c r="G27" s="38"/>
      <c r="H27" s="103">
        <f>H18-H26</f>
        <v>3630701.3333333335</v>
      </c>
      <c r="I27" s="103">
        <f>I18-I26</f>
        <v>9801598.9333333336</v>
      </c>
      <c r="J27" s="103">
        <f>J18-J26</f>
        <v>19124531.41333333</v>
      </c>
    </row>
    <row r="28" spans="1:10" x14ac:dyDescent="0.35">
      <c r="D28" s="36"/>
      <c r="H28" s="63"/>
      <c r="I28" s="63"/>
      <c r="J28" s="63"/>
    </row>
    <row r="29" spans="1:10" s="111" customFormat="1" ht="21" customHeight="1" x14ac:dyDescent="0.5">
      <c r="A29" s="110" t="s">
        <v>15</v>
      </c>
      <c r="D29" s="117"/>
      <c r="H29" s="118"/>
      <c r="I29" s="118"/>
      <c r="J29" s="118"/>
    </row>
    <row r="30" spans="1:10" x14ac:dyDescent="0.35">
      <c r="D30" s="36"/>
      <c r="H30" s="63"/>
      <c r="I30" s="63"/>
      <c r="J30" s="63"/>
    </row>
    <row r="31" spans="1:10" x14ac:dyDescent="0.35">
      <c r="D31" s="36"/>
      <c r="H31" s="63"/>
      <c r="I31" s="63"/>
      <c r="J31" s="63"/>
    </row>
    <row r="32" spans="1:10" x14ac:dyDescent="0.35">
      <c r="C32" s="39" t="s">
        <v>16</v>
      </c>
      <c r="D32" s="36"/>
      <c r="H32" s="36">
        <v>2027</v>
      </c>
      <c r="I32" s="36">
        <v>2028</v>
      </c>
      <c r="J32" s="36">
        <v>2029</v>
      </c>
    </row>
    <row r="33" spans="1:11" x14ac:dyDescent="0.35">
      <c r="C33" s="49" t="s">
        <v>17</v>
      </c>
      <c r="D33" s="36"/>
      <c r="H33" s="63">
        <f>Assumptions!F67/Assumptions!F24</f>
        <v>711</v>
      </c>
      <c r="I33" s="63">
        <f>Assumptions!G67/Assumptions!G24</f>
        <v>711</v>
      </c>
      <c r="J33" s="63">
        <f>Assumptions!H67/Assumptions!H24</f>
        <v>711</v>
      </c>
    </row>
    <row r="34" spans="1:11" x14ac:dyDescent="0.35">
      <c r="C34" s="49" t="s">
        <v>18</v>
      </c>
      <c r="D34" s="36"/>
      <c r="H34" s="63">
        <f>Assumptions!F67/Assumptions!F17</f>
        <v>106650</v>
      </c>
      <c r="I34" s="63">
        <f>Assumptions!G67/Assumptions!G17</f>
        <v>127980</v>
      </c>
      <c r="J34" s="63">
        <f>Assumptions!H67/Assumptions!H17</f>
        <v>153576</v>
      </c>
    </row>
    <row r="35" spans="1:11" x14ac:dyDescent="0.35">
      <c r="C35" s="49" t="s">
        <v>19</v>
      </c>
      <c r="D35" s="36"/>
      <c r="H35" s="63">
        <f>Assumptions!F67/Assumptions!F9</f>
        <v>746550</v>
      </c>
      <c r="I35" s="63">
        <f>Assumptions!G67/Assumptions!G9</f>
        <v>1023840</v>
      </c>
      <c r="J35" s="63">
        <f>Assumptions!H67/Assumptions!H9</f>
        <v>1382184</v>
      </c>
    </row>
    <row r="36" spans="1:11" x14ac:dyDescent="0.35">
      <c r="C36" s="49" t="s">
        <v>20</v>
      </c>
      <c r="D36" s="36"/>
      <c r="H36" s="119">
        <v>0.08</v>
      </c>
      <c r="I36" s="119">
        <v>7.0000000000000007E-2</v>
      </c>
      <c r="J36" s="119">
        <v>0.06</v>
      </c>
    </row>
    <row r="37" spans="1:11" x14ac:dyDescent="0.35">
      <c r="C37" s="49" t="s">
        <v>21</v>
      </c>
      <c r="D37" s="36"/>
      <c r="H37" s="120">
        <f>H36*Assumptions!F9</f>
        <v>0.64</v>
      </c>
      <c r="I37" s="120">
        <f>I36*Assumptions!G9</f>
        <v>0.84000000000000008</v>
      </c>
      <c r="J37" s="120">
        <f>J36*Assumptions!H9</f>
        <v>0.96</v>
      </c>
    </row>
    <row r="38" spans="1:11" x14ac:dyDescent="0.35">
      <c r="C38" s="49" t="s">
        <v>22</v>
      </c>
      <c r="D38" s="36"/>
      <c r="H38" s="63">
        <f>Assumptions!G9-Assumptions!F9+H37</f>
        <v>4.6399999999999997</v>
      </c>
      <c r="I38" s="63">
        <f>(Assumptions!H9-Assumptions!G9)+I37</f>
        <v>4.84</v>
      </c>
      <c r="J38" s="63">
        <v>5</v>
      </c>
    </row>
    <row r="39" spans="1:11" x14ac:dyDescent="0.35">
      <c r="C39" s="49" t="s">
        <v>23</v>
      </c>
      <c r="D39" s="36"/>
      <c r="H39" s="63">
        <f>Assumptions!C156/H38</f>
        <v>127370.68965517242</v>
      </c>
      <c r="I39" s="63">
        <f>Assumptions!D156/I38</f>
        <v>80371.90082644629</v>
      </c>
      <c r="J39" s="63">
        <f>Assumptions!F156/J38</f>
        <v>90400</v>
      </c>
    </row>
    <row r="40" spans="1:11" x14ac:dyDescent="0.35">
      <c r="C40" s="49" t="s">
        <v>24</v>
      </c>
      <c r="D40" s="36"/>
      <c r="H40" s="81">
        <f>H35*35%/H36</f>
        <v>3266156.2499999995</v>
      </c>
      <c r="I40" s="81">
        <f>I35*35%/I36</f>
        <v>5119199.9999999991</v>
      </c>
      <c r="J40" s="81">
        <f>J35*35%/J36</f>
        <v>8062740</v>
      </c>
    </row>
    <row r="41" spans="1:11" x14ac:dyDescent="0.35">
      <c r="C41" s="49" t="s">
        <v>25</v>
      </c>
      <c r="D41" s="36"/>
      <c r="H41" s="121" t="str">
        <f>TEXT(H40/H39,0)&amp;"x"</f>
        <v>26x</v>
      </c>
      <c r="I41" s="121" t="str">
        <f>TEXT(I40/I39,0)&amp;"x"</f>
        <v>64x</v>
      </c>
      <c r="J41" s="121" t="str">
        <f>TEXT(J40/J39,0)&amp;"x"</f>
        <v>89x</v>
      </c>
    </row>
    <row r="42" spans="1:11" x14ac:dyDescent="0.35">
      <c r="C42" s="49" t="s">
        <v>26</v>
      </c>
      <c r="D42" s="36"/>
      <c r="H42" s="119">
        <f>H27/H6</f>
        <v>0.60791329002299466</v>
      </c>
      <c r="I42" s="119">
        <f>I27/I6</f>
        <v>0.79778081644701426</v>
      </c>
      <c r="J42" s="119">
        <f>J27/J6</f>
        <v>0.86477864982761565</v>
      </c>
    </row>
    <row r="43" spans="1:11" x14ac:dyDescent="0.35">
      <c r="D43" s="36"/>
      <c r="H43" s="81"/>
      <c r="I43" s="81"/>
      <c r="J43" s="81"/>
    </row>
    <row r="44" spans="1:11" s="111" customFormat="1" ht="21" customHeight="1" x14ac:dyDescent="0.5">
      <c r="A44" s="110" t="s">
        <v>27</v>
      </c>
      <c r="D44" s="117"/>
      <c r="H44" s="122"/>
      <c r="I44" s="122"/>
      <c r="J44" s="122"/>
    </row>
    <row r="45" spans="1:11" x14ac:dyDescent="0.35">
      <c r="D45" s="36"/>
      <c r="H45" s="81"/>
      <c r="I45" s="81"/>
      <c r="J45" s="81"/>
    </row>
    <row r="46" spans="1:11" x14ac:dyDescent="0.35">
      <c r="A46" s="123" t="s">
        <v>28</v>
      </c>
      <c r="B46" s="124"/>
      <c r="D46" s="36"/>
      <c r="H46" s="81"/>
      <c r="I46" s="81"/>
      <c r="J46" s="81"/>
    </row>
    <row r="47" spans="1:11" x14ac:dyDescent="0.35">
      <c r="D47" s="36"/>
      <c r="H47" s="39">
        <v>2026</v>
      </c>
      <c r="I47" s="39">
        <v>2027</v>
      </c>
      <c r="J47" s="39">
        <v>2028</v>
      </c>
      <c r="K47" s="39">
        <v>2029</v>
      </c>
    </row>
    <row r="48" spans="1:11" x14ac:dyDescent="0.35">
      <c r="C48" t="s">
        <v>29</v>
      </c>
      <c r="D48" s="36"/>
      <c r="H48" s="45">
        <f>-Assumptions!D182</f>
        <v>-2093400</v>
      </c>
      <c r="I48" s="125" t="s">
        <v>30</v>
      </c>
      <c r="J48" s="81"/>
    </row>
    <row r="49" spans="1:11" x14ac:dyDescent="0.35">
      <c r="C49" t="s">
        <v>31</v>
      </c>
      <c r="D49" s="36"/>
      <c r="H49" s="81"/>
      <c r="I49" s="81">
        <f>H27</f>
        <v>3630701.3333333335</v>
      </c>
      <c r="J49" s="81">
        <f>I27</f>
        <v>9801598.9333333336</v>
      </c>
      <c r="K49" s="81">
        <f>J27</f>
        <v>19124531.41333333</v>
      </c>
    </row>
    <row r="50" spans="1:11" x14ac:dyDescent="0.35">
      <c r="C50" t="s">
        <v>12</v>
      </c>
      <c r="D50" s="36"/>
      <c r="H50" s="81"/>
      <c r="I50" s="81">
        <f>Assumptions!F164</f>
        <v>210666.66666666669</v>
      </c>
      <c r="J50" s="81">
        <f>Assumptions!G164</f>
        <v>210666.66666666669</v>
      </c>
      <c r="K50" s="81">
        <f>Assumptions!H164</f>
        <v>210666.66666666669</v>
      </c>
    </row>
    <row r="51" spans="1:11" x14ac:dyDescent="0.35">
      <c r="C51" t="s">
        <v>32</v>
      </c>
      <c r="D51" s="36"/>
      <c r="H51" s="81"/>
      <c r="I51" s="63">
        <f>-(Assumptions!F67*Assumptions!B175/365)</f>
        <v>-1472646.5753424657</v>
      </c>
      <c r="J51" s="63">
        <f>-(Assumptions!G67*Assumptions!B175/365)</f>
        <v>-3029444.3835616438</v>
      </c>
      <c r="K51" s="63">
        <f>-(Assumptions!H67*Assumptions!B175/365)</f>
        <v>-5452999.8904109588</v>
      </c>
    </row>
    <row r="52" spans="1:11" x14ac:dyDescent="0.35">
      <c r="C52" t="s">
        <v>33</v>
      </c>
      <c r="D52" s="36"/>
      <c r="H52" s="81"/>
      <c r="I52" s="63">
        <f>-(Assumptions!F67*Assumptions!$B$176/365)</f>
        <v>-981764.38356164389</v>
      </c>
      <c r="J52" s="63">
        <f>-(Assumptions!G67*Assumptions!$B$176/365)</f>
        <v>-2019629.5890410959</v>
      </c>
      <c r="K52" s="63">
        <f>-(Assumptions!H67*Assumptions!$B$176/365)</f>
        <v>-3635333.2602739725</v>
      </c>
    </row>
    <row r="53" spans="1:11" x14ac:dyDescent="0.35">
      <c r="C53" s="123" t="s">
        <v>34</v>
      </c>
      <c r="D53" s="126"/>
      <c r="E53" s="124"/>
      <c r="F53" s="124"/>
      <c r="G53" s="124"/>
      <c r="H53" s="127">
        <f>SUM(H48:H52)</f>
        <v>-2093400</v>
      </c>
      <c r="I53" s="128">
        <f>SUM(I48:I52)</f>
        <v>1386957.0410958906</v>
      </c>
      <c r="J53" s="128">
        <f>SUM(J48:J52)</f>
        <v>4963191.6273972597</v>
      </c>
      <c r="K53" s="128">
        <f>SUM(K48:K52)</f>
        <v>10246864.929315066</v>
      </c>
    </row>
    <row r="54" spans="1:11" x14ac:dyDescent="0.35">
      <c r="D54" s="36"/>
      <c r="H54" s="81"/>
      <c r="I54" s="81"/>
      <c r="J54" s="81"/>
    </row>
    <row r="55" spans="1:11" x14ac:dyDescent="0.35">
      <c r="A55" s="123" t="s">
        <v>35</v>
      </c>
      <c r="B55" s="124"/>
      <c r="C55" s="49"/>
      <c r="D55" s="49"/>
      <c r="E55" s="49"/>
      <c r="F55" s="49"/>
      <c r="G55" s="49"/>
      <c r="H55" s="129"/>
      <c r="I55" s="129"/>
      <c r="J55" s="129"/>
    </row>
    <row r="56" spans="1:11" x14ac:dyDescent="0.35">
      <c r="C56" t="s">
        <v>36</v>
      </c>
      <c r="H56" s="45">
        <f>-Assumptions!H169</f>
        <v>-92000</v>
      </c>
      <c r="I56" s="45"/>
      <c r="J56" s="129"/>
    </row>
    <row r="57" spans="1:11" x14ac:dyDescent="0.35">
      <c r="C57" t="s">
        <v>37</v>
      </c>
      <c r="H57" s="45">
        <f>-Assumptions!H90</f>
        <v>-900000</v>
      </c>
      <c r="I57" s="63"/>
    </row>
    <row r="58" spans="1:11" x14ac:dyDescent="0.35">
      <c r="C58" s="123" t="s">
        <v>38</v>
      </c>
      <c r="D58" s="126"/>
      <c r="E58" s="124"/>
      <c r="F58" s="124"/>
      <c r="G58" s="124"/>
      <c r="H58" s="127">
        <f>SUM(H56:H57)</f>
        <v>-992000</v>
      </c>
      <c r="I58" s="127">
        <f>SUM(I56:I57)</f>
        <v>0</v>
      </c>
      <c r="J58" s="127">
        <f>SUM(J56:J57)</f>
        <v>0</v>
      </c>
      <c r="K58" s="127">
        <f>SUM(K56:K57)</f>
        <v>0</v>
      </c>
    </row>
    <row r="59" spans="1:11" ht="15" customHeight="1" x14ac:dyDescent="0.5">
      <c r="A59" s="123" t="s">
        <v>39</v>
      </c>
      <c r="B59" s="124"/>
      <c r="C59" s="47"/>
      <c r="H59" s="129"/>
      <c r="I59" s="129"/>
      <c r="J59" s="129"/>
    </row>
    <row r="60" spans="1:11" x14ac:dyDescent="0.35">
      <c r="C60" t="s">
        <v>40</v>
      </c>
      <c r="H60" s="63">
        <f>Assumptions!D184</f>
        <v>3393940</v>
      </c>
      <c r="I60" s="63"/>
    </row>
    <row r="61" spans="1:11" x14ac:dyDescent="0.35">
      <c r="C61" s="123" t="s">
        <v>41</v>
      </c>
      <c r="D61" s="123"/>
      <c r="E61" s="123"/>
      <c r="F61" s="123"/>
      <c r="G61" s="123"/>
      <c r="H61" s="130">
        <f>SUM(H60)</f>
        <v>3393940</v>
      </c>
      <c r="I61" s="130">
        <f>SUM(I60)</f>
        <v>0</v>
      </c>
      <c r="J61" s="130">
        <f>SUM(J60)</f>
        <v>0</v>
      </c>
      <c r="K61" s="130">
        <f>SUM(K60)</f>
        <v>0</v>
      </c>
    </row>
    <row r="63" spans="1:11" x14ac:dyDescent="0.35">
      <c r="C63" s="123" t="s">
        <v>42</v>
      </c>
      <c r="D63" s="124"/>
      <c r="E63" s="124"/>
      <c r="F63" s="124"/>
      <c r="G63" s="124"/>
      <c r="H63" s="127">
        <f>H61+H58+H53</f>
        <v>308540</v>
      </c>
      <c r="I63" s="127">
        <f>I61+I58+I53</f>
        <v>1386957.0410958906</v>
      </c>
      <c r="J63" s="127">
        <f>J61+J58+J53</f>
        <v>4963191.6273972597</v>
      </c>
      <c r="K63" s="127">
        <f>K61+K58+K53</f>
        <v>10246864.929315066</v>
      </c>
    </row>
    <row r="64" spans="1:11" x14ac:dyDescent="0.35">
      <c r="C64" t="s">
        <v>43</v>
      </c>
      <c r="H64" s="41" t="s">
        <v>30</v>
      </c>
      <c r="I64" s="45">
        <f>H65</f>
        <v>308540</v>
      </c>
      <c r="J64" s="45">
        <f>I65</f>
        <v>1695497.0410958906</v>
      </c>
      <c r="K64" s="45">
        <f>J65</f>
        <v>6658688.6684931498</v>
      </c>
    </row>
    <row r="65" spans="1:11" x14ac:dyDescent="0.35">
      <c r="C65" s="123" t="s">
        <v>44</v>
      </c>
      <c r="D65" s="124"/>
      <c r="E65" s="124"/>
      <c r="F65" s="124"/>
      <c r="G65" s="124"/>
      <c r="H65" s="127">
        <f>SUM(H63:H64)</f>
        <v>308540</v>
      </c>
      <c r="I65" s="127">
        <f>SUM(I63:I64)</f>
        <v>1695497.0410958906</v>
      </c>
      <c r="J65" s="127">
        <f>SUM(J63:J64)</f>
        <v>6658688.6684931498</v>
      </c>
      <c r="K65" s="127">
        <f>SUM(K63:K64)</f>
        <v>16905553.597808216</v>
      </c>
    </row>
    <row r="67" spans="1:11" s="111" customFormat="1" ht="21" customHeight="1" x14ac:dyDescent="0.5">
      <c r="A67" s="110" t="s">
        <v>45</v>
      </c>
    </row>
    <row r="69" spans="1:11" x14ac:dyDescent="0.35">
      <c r="A69" s="131" t="s">
        <v>46</v>
      </c>
      <c r="I69" s="132">
        <v>2027</v>
      </c>
      <c r="J69" s="132">
        <v>2028</v>
      </c>
      <c r="K69" s="132">
        <v>2029</v>
      </c>
    </row>
    <row r="70" spans="1:11" x14ac:dyDescent="0.35">
      <c r="B70" t="s">
        <v>47</v>
      </c>
      <c r="I70" s="45">
        <f>I65</f>
        <v>1695497.0410958906</v>
      </c>
      <c r="J70" s="45">
        <f>J65</f>
        <v>6658688.6684931498</v>
      </c>
      <c r="K70" s="45">
        <f>K65</f>
        <v>16905553.597808216</v>
      </c>
    </row>
    <row r="71" spans="1:11" x14ac:dyDescent="0.35">
      <c r="B71" t="s">
        <v>48</v>
      </c>
      <c r="I71" s="45">
        <f>H6*Assumptions!$B$175/365</f>
        <v>1472646.5753424657</v>
      </c>
      <c r="J71" s="45">
        <f>I6*Assumptions!$B$175/365</f>
        <v>3029444.3835616438</v>
      </c>
      <c r="K71" s="45">
        <f>J6*Assumptions!$B$175/365</f>
        <v>5452999.8904109588</v>
      </c>
    </row>
    <row r="72" spans="1:11" x14ac:dyDescent="0.35">
      <c r="B72" s="131" t="s">
        <v>49</v>
      </c>
      <c r="C72" s="131"/>
      <c r="D72" s="133"/>
      <c r="E72" s="133"/>
      <c r="F72" s="133"/>
      <c r="G72" s="133"/>
      <c r="H72" s="133"/>
      <c r="I72" s="134">
        <f>SUM(I70:I71)</f>
        <v>3168143.6164383562</v>
      </c>
      <c r="J72" s="134">
        <f>SUM(J70:J71)</f>
        <v>9688133.0520547926</v>
      </c>
      <c r="K72" s="134">
        <f>SUM(K70:K71)</f>
        <v>22358553.488219175</v>
      </c>
    </row>
    <row r="73" spans="1:11" x14ac:dyDescent="0.35">
      <c r="B73" t="s">
        <v>50</v>
      </c>
      <c r="I73" s="81">
        <f>Assumptions!$H$169-(Assumptions!$F$160+Assumptions!$F$161)</f>
        <v>61333.333333333328</v>
      </c>
      <c r="J73" s="81">
        <f>I73-(Assumptions!$F$160+Assumptions!$F$161)</f>
        <v>30666.666666666661</v>
      </c>
      <c r="K73" s="81">
        <f>J73-(Assumptions!$F$160+Assumptions!$F$161)</f>
        <v>0</v>
      </c>
    </row>
    <row r="74" spans="1:11" x14ac:dyDescent="0.35">
      <c r="B74" t="s">
        <v>51</v>
      </c>
      <c r="I74" s="63">
        <f>Assumptions!H90-(Assumptions!F162+Assumptions!F163)</f>
        <v>720000</v>
      </c>
      <c r="J74" s="45">
        <f>I74-(Assumptions!$F$162+Assumptions!$F$163)</f>
        <v>540000</v>
      </c>
      <c r="K74" s="45">
        <f>J74-(Assumptions!$F$162+Assumptions!$F$163)</f>
        <v>360000</v>
      </c>
    </row>
    <row r="75" spans="1:11" x14ac:dyDescent="0.35">
      <c r="B75" s="131" t="s">
        <v>52</v>
      </c>
      <c r="C75" s="131"/>
      <c r="D75" s="131"/>
      <c r="E75" s="131"/>
      <c r="F75" s="131"/>
      <c r="G75" s="131"/>
      <c r="H75" s="131"/>
      <c r="I75" s="135">
        <f>SUM(I73:I74)</f>
        <v>781333.33333333337</v>
      </c>
      <c r="J75" s="135">
        <f>SUM(J73:J74)</f>
        <v>570666.66666666663</v>
      </c>
      <c r="K75" s="135">
        <f>SUM(K73:K74)</f>
        <v>360000</v>
      </c>
    </row>
    <row r="76" spans="1:11" x14ac:dyDescent="0.35">
      <c r="B76" s="131" t="s">
        <v>53</v>
      </c>
      <c r="C76" s="131"/>
      <c r="D76" s="131"/>
      <c r="E76" s="131"/>
      <c r="F76" s="131"/>
      <c r="G76" s="131"/>
      <c r="H76" s="131"/>
      <c r="I76" s="134">
        <f>I75+I72</f>
        <v>3949476.9497716897</v>
      </c>
      <c r="J76" s="134">
        <f>J75+J72</f>
        <v>10258799.718721459</v>
      </c>
      <c r="K76" s="134">
        <f>K75+K72</f>
        <v>22718553.488219175</v>
      </c>
    </row>
    <row r="78" spans="1:11" x14ac:dyDescent="0.35">
      <c r="A78" s="131" t="s">
        <v>54</v>
      </c>
      <c r="B78" s="49"/>
    </row>
    <row r="79" spans="1:11" x14ac:dyDescent="0.35">
      <c r="B79" t="s">
        <v>55</v>
      </c>
      <c r="I79" s="63">
        <f>Assumptions!C118*Assumptions!$B$176/365</f>
        <v>6186.0821917808216</v>
      </c>
      <c r="J79" s="63">
        <f>Assumptions!D118*Assumptions!$B$176/365</f>
        <v>12725.654794520548</v>
      </c>
      <c r="K79" s="63">
        <f>Assumptions!F118*Assumptions!$B$176/365</f>
        <v>22906.178630136983</v>
      </c>
    </row>
    <row r="80" spans="1:11" x14ac:dyDescent="0.35">
      <c r="B80" s="131" t="s">
        <v>56</v>
      </c>
      <c r="C80" s="131"/>
      <c r="D80" s="131"/>
      <c r="E80" s="131"/>
      <c r="F80" s="131"/>
      <c r="G80" s="131"/>
      <c r="H80" s="131"/>
      <c r="I80" s="134">
        <f>SUM(I79)</f>
        <v>6186.0821917808216</v>
      </c>
      <c r="J80" s="134">
        <f>SUM(J79)</f>
        <v>12725.654794520548</v>
      </c>
      <c r="K80" s="134">
        <f>SUM(K79)</f>
        <v>22906.178630136983</v>
      </c>
    </row>
    <row r="81" spans="1:11" x14ac:dyDescent="0.35">
      <c r="A81" s="131" t="s">
        <v>57</v>
      </c>
    </row>
    <row r="82" spans="1:11" x14ac:dyDescent="0.35">
      <c r="B82" t="s">
        <v>58</v>
      </c>
      <c r="I82" s="63">
        <f>Assumptions!D184</f>
        <v>3393940</v>
      </c>
      <c r="J82" s="63">
        <f>$I$82</f>
        <v>3393940</v>
      </c>
      <c r="K82" s="63">
        <f>$I$82</f>
        <v>3393940</v>
      </c>
    </row>
    <row r="83" spans="1:11" x14ac:dyDescent="0.35">
      <c r="B83" t="s">
        <v>59</v>
      </c>
      <c r="I83" s="45">
        <f>H48</f>
        <v>-2093400</v>
      </c>
      <c r="J83" s="45">
        <f>$I$83</f>
        <v>-2093400</v>
      </c>
      <c r="K83" s="45">
        <f>$I$83</f>
        <v>-2093400</v>
      </c>
    </row>
    <row r="84" spans="1:11" x14ac:dyDescent="0.35">
      <c r="B84" t="s">
        <v>60</v>
      </c>
      <c r="I84" s="45">
        <f>H27</f>
        <v>3630701.3333333335</v>
      </c>
      <c r="J84" s="45">
        <f>I27</f>
        <v>9801598.9333333336</v>
      </c>
      <c r="K84" s="45">
        <f>J27</f>
        <v>19124531.41333333</v>
      </c>
    </row>
    <row r="85" spans="1:11" x14ac:dyDescent="0.35">
      <c r="B85" s="131" t="s">
        <v>61</v>
      </c>
      <c r="C85" s="131"/>
      <c r="D85" s="131"/>
      <c r="E85" s="131"/>
      <c r="F85" s="131"/>
      <c r="G85" s="131"/>
      <c r="H85" s="131"/>
      <c r="I85" s="134">
        <f>SUM(I82:I84)</f>
        <v>4931241.333333334</v>
      </c>
      <c r="J85" s="134">
        <f>SUM(J82:J84)</f>
        <v>11102138.933333334</v>
      </c>
      <c r="K85" s="134">
        <f>SUM(K82:K84)</f>
        <v>20425071.41333333</v>
      </c>
    </row>
    <row r="86" spans="1:11" x14ac:dyDescent="0.35">
      <c r="B86" s="131" t="s">
        <v>62</v>
      </c>
      <c r="C86" s="131"/>
      <c r="D86" s="131"/>
      <c r="E86" s="131"/>
      <c r="F86" s="131"/>
      <c r="G86" s="131"/>
      <c r="H86" s="131"/>
      <c r="I86" s="134">
        <f>I85+I80</f>
        <v>4937427.4155251151</v>
      </c>
      <c r="J86" s="134">
        <f>J85+J80</f>
        <v>11114864.588127853</v>
      </c>
      <c r="K86" s="134">
        <f>K85+K80</f>
        <v>20447977.591963466</v>
      </c>
    </row>
    <row r="87" spans="1:11" x14ac:dyDescent="0.35">
      <c r="I87" s="45">
        <f>I86-I76</f>
        <v>987950.46575342538</v>
      </c>
      <c r="J87" s="45">
        <f>J86-J76</f>
        <v>856064.86940639466</v>
      </c>
      <c r="K87" s="45">
        <f>K86-K76</f>
        <v>-2270575.8962557092</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Income Statement</vt:lpstr>
      <vt:lpstr>Cash Flow</vt:lpstr>
      <vt:lpstr>Balance Sheet</vt:lpstr>
      <vt:lpstr>Assumptions</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Ezzo Babiker</cp:lastModifiedBy>
  <cp:revision>0</cp:revision>
  <cp:lastPrinted>2026-04-29T09:28:10Z</cp:lastPrinted>
  <dcterms:created xsi:type="dcterms:W3CDTF">2026-04-25T00:25:33Z</dcterms:created>
  <dcterms:modified xsi:type="dcterms:W3CDTF">2026-07-15T09:03:25Z</dcterms:modified>
  <dc:language>en-US</dc:language>
</cp:coreProperties>
</file>