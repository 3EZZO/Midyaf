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trlProps/ctrlProp1.xml" ContentType="application/vnd.ms-excel.controlproperti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028"/>
  <workbookPr/>
  <mc:AlternateContent xmlns:mc="http://schemas.openxmlformats.org/markup-compatibility/2006">
    <mc:Choice Requires="x15">
      <x15ac:absPath xmlns:x15ac="http://schemas.microsoft.com/office/spreadsheetml/2010/11/ac" url="C:\Users\user\Desktop\"/>
    </mc:Choice>
  </mc:AlternateContent>
  <xr:revisionPtr revIDLastSave="0" documentId="13_ncr:1_{BC158F38-5A3A-4B85-95C3-C772C541D7EE}" xr6:coauthVersionLast="47" xr6:coauthVersionMax="47" xr10:uidLastSave="{00000000-0000-0000-0000-000000000000}"/>
  <bookViews>
    <workbookView xWindow="-110" yWindow="-110" windowWidth="19420" windowHeight="10420" activeTab="1" xr2:uid="{00000000-000D-0000-FFFF-FFFF00000000}"/>
  </bookViews>
  <sheets>
    <sheet name="Assumptions" sheetId="1" r:id="rId1"/>
    <sheet name="Income statement" sheetId="7" r:id="rId2"/>
    <sheet name="clarifications" sheetId="8"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148" i="1" l="1"/>
  <c r="F63" i="1"/>
  <c r="I18" i="7"/>
  <c r="J18" i="7"/>
  <c r="I19" i="7"/>
  <c r="J19" i="7"/>
  <c r="I20" i="7"/>
  <c r="J20" i="7"/>
  <c r="I21" i="7"/>
  <c r="J21" i="7"/>
  <c r="I22" i="7"/>
  <c r="J22" i="7"/>
  <c r="I23" i="7"/>
  <c r="J23" i="7"/>
  <c r="I24" i="7"/>
  <c r="J24" i="7"/>
  <c r="I25" i="7"/>
  <c r="J25" i="7"/>
  <c r="I26" i="7"/>
  <c r="J26" i="7"/>
  <c r="I27" i="7"/>
  <c r="J27" i="7"/>
  <c r="I28" i="7"/>
  <c r="J28" i="7"/>
  <c r="I29" i="7"/>
  <c r="J29" i="7"/>
  <c r="I30" i="7"/>
  <c r="J30" i="7"/>
  <c r="I31" i="7"/>
  <c r="J31" i="7"/>
  <c r="I32" i="7"/>
  <c r="J32" i="7"/>
  <c r="H32" i="7"/>
  <c r="H31" i="7"/>
  <c r="H30" i="7"/>
  <c r="H29" i="7"/>
  <c r="H28" i="7"/>
  <c r="H27" i="7"/>
  <c r="H26" i="7"/>
  <c r="H25" i="7"/>
  <c r="H24" i="7"/>
  <c r="H23" i="7"/>
  <c r="H22" i="7"/>
  <c r="H21" i="7"/>
  <c r="H20" i="7"/>
  <c r="H19" i="7"/>
  <c r="H18" i="7"/>
  <c r="G122" i="1"/>
  <c r="H122" i="1"/>
  <c r="F122" i="1"/>
  <c r="H121" i="1"/>
  <c r="G121" i="1"/>
  <c r="F121" i="1"/>
  <c r="G120" i="1"/>
  <c r="H120" i="1"/>
  <c r="F120" i="1"/>
  <c r="H119" i="1"/>
  <c r="G119" i="1"/>
  <c r="H118" i="1"/>
  <c r="G118" i="1"/>
  <c r="F118" i="1"/>
  <c r="H117" i="1"/>
  <c r="G117" i="1"/>
  <c r="F117" i="1"/>
  <c r="G115" i="1"/>
  <c r="H115" i="1"/>
  <c r="H116" i="1"/>
  <c r="G116" i="1"/>
  <c r="F116" i="1"/>
  <c r="F115" i="1"/>
  <c r="F114" i="1"/>
  <c r="F113" i="1"/>
  <c r="G110" i="1"/>
  <c r="H110" i="1"/>
  <c r="G111" i="1"/>
  <c r="H111" i="1"/>
  <c r="F112" i="1"/>
  <c r="F111" i="1"/>
  <c r="F110" i="1"/>
  <c r="G109" i="1"/>
  <c r="H109" i="1"/>
  <c r="F109" i="1"/>
  <c r="I49" i="7"/>
  <c r="J49" i="7"/>
  <c r="H49" i="7"/>
  <c r="I44" i="7"/>
  <c r="J44" i="7"/>
  <c r="H44" i="7"/>
  <c r="I43" i="7"/>
  <c r="J43" i="7"/>
  <c r="H43" i="7"/>
  <c r="H35" i="7"/>
  <c r="I35" i="7"/>
  <c r="J35" i="7"/>
  <c r="H142" i="1"/>
  <c r="J14" i="7" s="1"/>
  <c r="G142" i="1"/>
  <c r="I14" i="7" s="1"/>
  <c r="F142" i="1"/>
  <c r="H14" i="7" s="1"/>
  <c r="H138" i="1"/>
  <c r="J12" i="7" s="1"/>
  <c r="G138" i="1"/>
  <c r="F138" i="1"/>
  <c r="H12" i="7" s="1"/>
  <c r="E126" i="1" a="1"/>
  <c r="E126" i="1" s="1"/>
  <c r="F126" i="1" a="1"/>
  <c r="F126" i="1" s="1"/>
  <c r="I36" i="7"/>
  <c r="J36" i="7"/>
  <c r="I40" i="7"/>
  <c r="J40" i="7"/>
  <c r="I41" i="7"/>
  <c r="J41" i="7"/>
  <c r="I42" i="7"/>
  <c r="J42" i="7"/>
  <c r="I46" i="7"/>
  <c r="J46" i="7"/>
  <c r="G167" i="1"/>
  <c r="H167" i="1"/>
  <c r="F167" i="1"/>
  <c r="H46" i="7"/>
  <c r="H42" i="7"/>
  <c r="H41" i="7"/>
  <c r="H40" i="7"/>
  <c r="G157" i="1"/>
  <c r="I45" i="7" s="1"/>
  <c r="H157" i="1"/>
  <c r="J45" i="7" s="1"/>
  <c r="F157" i="1"/>
  <c r="H45" i="7" s="1"/>
  <c r="G161" i="1"/>
  <c r="I48" i="7" s="1"/>
  <c r="H161" i="1"/>
  <c r="J48" i="7" s="1"/>
  <c r="F161" i="1"/>
  <c r="H48" i="7" s="1"/>
  <c r="G151" i="1"/>
  <c r="I39" i="7" s="1"/>
  <c r="H151" i="1"/>
  <c r="J39" i="7" s="1"/>
  <c r="F151" i="1"/>
  <c r="H39" i="7" s="1"/>
  <c r="G160" i="1"/>
  <c r="I47" i="7" s="1"/>
  <c r="H160" i="1"/>
  <c r="J47" i="7" s="1"/>
  <c r="F160" i="1"/>
  <c r="H47" i="7" s="1"/>
  <c r="G150" i="1"/>
  <c r="I38" i="7" s="1"/>
  <c r="H150" i="1"/>
  <c r="J38" i="7" s="1"/>
  <c r="F150" i="1"/>
  <c r="H38" i="7" s="1"/>
  <c r="G149" i="1"/>
  <c r="I37" i="7" s="1"/>
  <c r="H149" i="1"/>
  <c r="J37" i="7" s="1"/>
  <c r="F149" i="1"/>
  <c r="H37" i="7" s="1"/>
  <c r="G146" i="1"/>
  <c r="I34" i="7" s="1"/>
  <c r="H146" i="1"/>
  <c r="J34" i="7" s="1"/>
  <c r="F146" i="1"/>
  <c r="H34" i="7" s="1"/>
  <c r="G145" i="1"/>
  <c r="I33" i="7" s="1"/>
  <c r="H145" i="1"/>
  <c r="J33" i="7" s="1"/>
  <c r="F145" i="1"/>
  <c r="H33" i="7" s="1"/>
  <c r="G144" i="1"/>
  <c r="H144" i="1"/>
  <c r="F144" i="1"/>
  <c r="I12" i="7"/>
  <c r="D5" i="7"/>
  <c r="D4" i="7"/>
  <c r="D3" i="7"/>
  <c r="F82" i="1" a="1"/>
  <c r="F82" i="1" s="1"/>
  <c r="F81" i="1" a="1"/>
  <c r="F81" i="1" s="1"/>
  <c r="F80" i="1" a="1"/>
  <c r="F80" i="1" s="1"/>
  <c r="F79" i="1" a="1"/>
  <c r="F79" i="1" s="1"/>
  <c r="G16" i="1"/>
  <c r="G23" i="1" s="1"/>
  <c r="G26" i="1" s="1"/>
  <c r="G31" i="1" s="1"/>
  <c r="G38" i="1" s="1"/>
  <c r="G44" i="1" s="1"/>
  <c r="G49" i="1" s="1"/>
  <c r="G52" i="1" s="1"/>
  <c r="G57" i="1" s="1"/>
  <c r="G62" i="1" s="1"/>
  <c r="G67" i="1" s="1"/>
  <c r="G72" i="1" s="1"/>
  <c r="H16" i="1"/>
  <c r="H23" i="1" s="1"/>
  <c r="H26" i="1" s="1"/>
  <c r="H31" i="1" s="1"/>
  <c r="H38" i="1" s="1"/>
  <c r="H44" i="1" s="1"/>
  <c r="H49" i="1" s="1"/>
  <c r="H52" i="1" s="1"/>
  <c r="H57" i="1" s="1"/>
  <c r="H62" i="1" s="1"/>
  <c r="H67" i="1" s="1"/>
  <c r="H72" i="1" s="1"/>
  <c r="F16" i="1"/>
  <c r="F23" i="1" s="1"/>
  <c r="F26" i="1" s="1"/>
  <c r="F31" i="1" s="1"/>
  <c r="F38" i="1" s="1"/>
  <c r="F44" i="1" s="1"/>
  <c r="F49" i="1" s="1"/>
  <c r="F52" i="1" s="1"/>
  <c r="F57" i="1" s="1"/>
  <c r="F62" i="1" s="1"/>
  <c r="F67" i="1" s="1"/>
  <c r="F72" i="1" s="1"/>
  <c r="G20" i="1"/>
  <c r="G33" i="1" s="1"/>
  <c r="G54" i="1" s="1"/>
  <c r="H20" i="1"/>
  <c r="H33" i="1" s="1"/>
  <c r="H54" i="1" s="1"/>
  <c r="F20" i="1"/>
  <c r="F33" i="1" s="1"/>
  <c r="F69" i="1" s="1"/>
  <c r="G19" i="1"/>
  <c r="G63" i="1" s="1"/>
  <c r="H19" i="1"/>
  <c r="H32" i="1" s="1"/>
  <c r="H53" i="1" s="1"/>
  <c r="F19" i="1"/>
  <c r="F32" i="1" s="1"/>
  <c r="F53" i="1" s="1"/>
  <c r="G21" i="1"/>
  <c r="H21" i="1"/>
  <c r="F21" i="1"/>
  <c r="F34" i="1" s="1"/>
  <c r="F55" i="1" s="1"/>
  <c r="G9" i="1" a="1"/>
  <c r="G9" i="1" s="1"/>
  <c r="H9" i="1" a="1"/>
  <c r="H9" i="1" s="1"/>
  <c r="F9" i="1" a="1"/>
  <c r="F9" i="1" s="1"/>
  <c r="F168" i="1" l="1"/>
  <c r="F169" i="1" s="1"/>
  <c r="H53" i="7" s="1"/>
  <c r="H164" i="1"/>
  <c r="G164" i="1"/>
  <c r="G17" i="1" a="1"/>
  <c r="G17" i="1" s="1"/>
  <c r="G69" i="1"/>
  <c r="B126" i="1" a="1"/>
  <c r="B126" i="1" s="1"/>
  <c r="F140" i="1" s="1"/>
  <c r="H13" i="7" s="1"/>
  <c r="H17" i="1" a="1"/>
  <c r="H17" i="1" s="1"/>
  <c r="F24" i="1" a="1"/>
  <c r="F24" i="1" s="1"/>
  <c r="F70" i="1"/>
  <c r="F59" i="1" s="1" a="1"/>
  <c r="F59" i="1" s="1"/>
  <c r="H4" i="7" s="1"/>
  <c r="H74" i="1"/>
  <c r="H68" i="1"/>
  <c r="F75" i="1"/>
  <c r="G74" i="1"/>
  <c r="H168" i="1"/>
  <c r="H169" i="1" s="1"/>
  <c r="J53" i="7" s="1"/>
  <c r="F74" i="1"/>
  <c r="F68" i="1"/>
  <c r="H73" i="1"/>
  <c r="H69" i="1"/>
  <c r="F73" i="1"/>
  <c r="F60" i="1" a="1"/>
  <c r="F60" i="1" s="1"/>
  <c r="H5" i="7" s="1"/>
  <c r="F17" i="1" a="1"/>
  <c r="F17" i="1" s="1"/>
  <c r="F50" i="1" a="1"/>
  <c r="F50" i="1" s="1"/>
  <c r="F64" i="1"/>
  <c r="G32" i="1"/>
  <c r="F65" i="1"/>
  <c r="H64" i="1"/>
  <c r="G34" i="1"/>
  <c r="G64" i="1"/>
  <c r="H65" i="1"/>
  <c r="H63" i="1"/>
  <c r="G65" i="1"/>
  <c r="G58" i="1" s="1" a="1"/>
  <c r="G58" i="1" s="1"/>
  <c r="H34" i="1"/>
  <c r="D126" i="1" s="1" a="1"/>
  <c r="D126" i="1" s="1"/>
  <c r="H140" i="1" s="1"/>
  <c r="J13" i="7" s="1"/>
  <c r="F54" i="1"/>
  <c r="J50" i="7" l="1"/>
  <c r="I50" i="7"/>
  <c r="F164" i="1"/>
  <c r="H36" i="7"/>
  <c r="H50" i="7" s="1"/>
  <c r="G168" i="1"/>
  <c r="G169" i="1" s="1"/>
  <c r="I53" i="7" s="1"/>
  <c r="C126" i="1" a="1"/>
  <c r="C126" i="1" s="1"/>
  <c r="G140" i="1" s="1"/>
  <c r="I13" i="7" s="1"/>
  <c r="H130" i="1"/>
  <c r="J8" i="7" s="1"/>
  <c r="H134" i="1"/>
  <c r="J10" i="7" s="1"/>
  <c r="H136" i="1"/>
  <c r="J11" i="7" s="1"/>
  <c r="H132" i="1"/>
  <c r="J9" i="7" s="1"/>
  <c r="F132" i="1"/>
  <c r="H9" i="7" s="1"/>
  <c r="F134" i="1"/>
  <c r="H10" i="7" s="1"/>
  <c r="F136" i="1"/>
  <c r="H11" i="7" s="1"/>
  <c r="F130" i="1"/>
  <c r="H8" i="7" s="1"/>
  <c r="H75" i="1"/>
  <c r="H60" i="1" s="1" a="1"/>
  <c r="H60" i="1" s="1"/>
  <c r="J5" i="7" s="1"/>
  <c r="H70" i="1"/>
  <c r="H59" i="1" s="1" a="1"/>
  <c r="H59" i="1" s="1"/>
  <c r="J4" i="7" s="1"/>
  <c r="G73" i="1"/>
  <c r="G68" i="1"/>
  <c r="G75" i="1"/>
  <c r="G70" i="1"/>
  <c r="I3" i="7"/>
  <c r="H58" i="1" a="1"/>
  <c r="H58" i="1" s="1"/>
  <c r="F58" i="1" a="1"/>
  <c r="F58" i="1" s="1"/>
  <c r="H3" i="7" s="1"/>
  <c r="G55" i="1"/>
  <c r="G53" i="1"/>
  <c r="H55" i="1"/>
  <c r="H24" i="1" s="1" a="1"/>
  <c r="H24" i="1" s="1"/>
  <c r="G130" i="1" l="1"/>
  <c r="I8" i="7" s="1"/>
  <c r="G134" i="1"/>
  <c r="I10" i="7" s="1"/>
  <c r="G132" i="1"/>
  <c r="I9" i="7" s="1"/>
  <c r="G136" i="1"/>
  <c r="I11" i="7" s="1"/>
  <c r="H15" i="7"/>
  <c r="G24" i="1" a="1"/>
  <c r="G24" i="1" s="1"/>
  <c r="G59" i="1" a="1"/>
  <c r="G59" i="1" s="1"/>
  <c r="I4" i="7" s="1"/>
  <c r="G60" i="1" a="1"/>
  <c r="G60" i="1" s="1"/>
  <c r="I5" i="7" s="1"/>
  <c r="F61" i="1"/>
  <c r="J3" i="7"/>
  <c r="H61" i="1"/>
  <c r="H6" i="7"/>
  <c r="H50" i="1" a="1"/>
  <c r="H50" i="1" s="1"/>
  <c r="G50" i="1" a="1"/>
  <c r="G50" i="1" s="1"/>
  <c r="I15" i="7" l="1"/>
  <c r="H16" i="7"/>
  <c r="H51" i="7" s="1"/>
  <c r="H54" i="7" s="1"/>
  <c r="G61" i="1"/>
  <c r="J6" i="7"/>
  <c r="J15" i="7"/>
  <c r="I6" i="7"/>
  <c r="I16" i="7" l="1"/>
  <c r="I51" i="7" s="1"/>
  <c r="I54" i="7" s="1"/>
  <c r="J16" i="7"/>
  <c r="J51" i="7" s="1"/>
  <c r="J54" i="7"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<sst xmlns="http://schemas.openxmlformats.org/spreadsheetml/2006/main" count="291" uniqueCount="195">
  <si>
    <t>Revenue</t>
  </si>
  <si>
    <t>Cost</t>
  </si>
  <si>
    <t>Driver Switch</t>
  </si>
  <si>
    <t>Best Case</t>
  </si>
  <si>
    <t>Base Case</t>
  </si>
  <si>
    <t>Worst Case</t>
  </si>
  <si>
    <t>Event</t>
  </si>
  <si>
    <t>Totel Of Guests</t>
  </si>
  <si>
    <t>Conversion</t>
  </si>
  <si>
    <t xml:space="preserve">AVG Cost Of The Trip </t>
  </si>
  <si>
    <t xml:space="preserve">Revenue Of The Trip </t>
  </si>
  <si>
    <t>NO Guests to spicial trip</t>
  </si>
  <si>
    <t>كل اربعه يوف سياره</t>
  </si>
  <si>
    <t xml:space="preserve">كل ضيف VIP سياره </t>
  </si>
  <si>
    <t xml:space="preserve">كل 70 ضيف سيارة قولف </t>
  </si>
  <si>
    <t xml:space="preserve">كل 150 ضيف حاويه </t>
  </si>
  <si>
    <t xml:space="preserve">كل 200 ضيف سيارة شحن </t>
  </si>
  <si>
    <t xml:space="preserve">كل 300 ضيف معدات ثقيله </t>
  </si>
  <si>
    <t xml:space="preserve">Event volume </t>
  </si>
  <si>
    <t>cars</t>
  </si>
  <si>
    <t>Cars</t>
  </si>
  <si>
    <t>Tickit</t>
  </si>
  <si>
    <t>Hotels</t>
  </si>
  <si>
    <t xml:space="preserve">اسئله </t>
  </si>
  <si>
    <t xml:space="preserve">كم نسبه وكالات السفر في التذكره </t>
  </si>
  <si>
    <t>Assumptions</t>
  </si>
  <si>
    <t>Guest APP</t>
  </si>
  <si>
    <t>Driver APP</t>
  </si>
  <si>
    <t>Dashboard</t>
  </si>
  <si>
    <t>Backend + Marketplace</t>
  </si>
  <si>
    <t>SALARES</t>
  </si>
  <si>
    <t>Full Stack Developer</t>
  </si>
  <si>
    <t>UI/UX Designer</t>
  </si>
  <si>
    <t>Business Development</t>
  </si>
  <si>
    <t>Digital Marketer</t>
  </si>
  <si>
    <t>Customer Support</t>
  </si>
  <si>
    <t>Accountant</t>
  </si>
  <si>
    <t>Founder / CEO</t>
  </si>
  <si>
    <t xml:space="preserve">نصيحه </t>
  </si>
  <si>
    <t>Developer واحد</t>
  </si>
  <si>
    <t>Operations قوي جدًا</t>
  </si>
  <si>
    <t>Sales ذكي</t>
  </si>
  <si>
    <t>❌ لا تبني فريق كبير تقني من البداية</t>
  </si>
  <si>
    <t xml:space="preserve">Income Statemaent </t>
  </si>
  <si>
    <t>Total Revenue</t>
  </si>
  <si>
    <r>
      <t xml:space="preserve">ما في </t>
    </r>
    <r>
      <rPr>
        <b/>
        <sz val="11"/>
        <color theme="1"/>
        <rFont val="Calibri"/>
        <family val="2"/>
        <scheme val="minor"/>
      </rPr>
      <t>تكلفة صيانة سنوية</t>
    </r>
  </si>
  <si>
    <r>
      <t xml:space="preserve">ما في </t>
    </r>
    <r>
      <rPr>
        <b/>
        <sz val="11"/>
        <color theme="1"/>
        <rFont val="Calibri"/>
        <family val="2"/>
        <scheme val="minor"/>
      </rPr>
      <t>تكلفة سيرفرات</t>
    </r>
  </si>
  <si>
    <r>
      <t xml:space="preserve">ما في </t>
    </r>
    <r>
      <rPr>
        <b/>
        <sz val="11"/>
        <color theme="1"/>
        <rFont val="Calibri"/>
        <family val="2"/>
        <scheme val="minor"/>
      </rPr>
      <t>تكلفة AI</t>
    </r>
  </si>
  <si>
    <r>
      <t xml:space="preserve">ما في </t>
    </r>
    <r>
      <rPr>
        <b/>
        <sz val="11"/>
        <color theme="1"/>
        <rFont val="Calibri"/>
        <family val="2"/>
        <scheme val="minor"/>
      </rPr>
      <t>تكلفة DevOps / Security</t>
    </r>
  </si>
  <si>
    <r>
      <t xml:space="preserve">ما في </t>
    </r>
    <r>
      <rPr>
        <b/>
        <sz val="11"/>
        <color theme="1"/>
        <rFont val="Calibri"/>
        <family val="2"/>
        <scheme val="minor"/>
      </rPr>
      <t>تكلفة Hosting</t>
    </r>
  </si>
  <si>
    <r>
      <t xml:space="preserve">ما في </t>
    </r>
    <r>
      <rPr>
        <b/>
        <sz val="11"/>
        <color theme="1"/>
        <rFont val="Calibri"/>
        <family val="2"/>
        <scheme val="minor"/>
      </rPr>
      <t>تكلفة Integrations</t>
    </r>
    <r>
      <rPr>
        <sz val="11"/>
        <color theme="1"/>
        <rFont val="Calibri"/>
        <family val="2"/>
        <scheme val="minor"/>
      </rPr>
      <t xml:space="preserve"> (خرائط – SMS – OTP – Email)</t>
    </r>
  </si>
  <si>
    <t>SMS / OTP</t>
  </si>
  <si>
    <t>Email API</t>
  </si>
  <si>
    <t>Maps API (خرائط – تتبع – حساب مسافات)</t>
  </si>
  <si>
    <t>AI API Usage (مثل OpenAI)</t>
  </si>
  <si>
    <t>Payment Gateway Fees</t>
  </si>
  <si>
    <t>Storage للصور والفواتير</t>
  </si>
  <si>
    <t>CDN للاستخدام العالي</t>
  </si>
  <si>
    <t>A) الرواتب (Salaries)</t>
  </si>
  <si>
    <t>Product Architect (دمج PM + Ops Lead)</t>
  </si>
  <si>
    <t>Accountant (Outsource)</t>
  </si>
  <si>
    <t>B) البنية التحتية التقنية (Infrastructure)</t>
  </si>
  <si>
    <t>Hosting / Servers (AWS / Azure / GCP)</t>
  </si>
  <si>
    <t>Database</t>
  </si>
  <si>
    <t>Backups</t>
  </si>
  <si>
    <t>Monitoring (Sentry / Datadog)</t>
  </si>
  <si>
    <t>Analytics (Mixpanel / Amplitude)</t>
  </si>
  <si>
    <t>DevOps (Part-time)</t>
  </si>
  <si>
    <t>Security Audits</t>
  </si>
  <si>
    <t>C) الصيانة التقنية (Maintenance)</t>
  </si>
  <si>
    <t>Bug fixing</t>
  </si>
  <si>
    <t>Updates</t>
  </si>
  <si>
    <t>تحسينات</t>
  </si>
  <si>
    <t>دعم فني تقني</t>
  </si>
  <si>
    <t>عادةً 10–15% من تكلفة التطوير سنويًا.</t>
  </si>
  <si>
    <t>D) الإيجار والمكتب (Office)</t>
  </si>
  <si>
    <t>إيجار المكتب</t>
  </si>
  <si>
    <t>كهرباء</t>
  </si>
  <si>
    <t>ماء</t>
  </si>
  <si>
    <t>نظافة</t>
  </si>
  <si>
    <t>اشتراك الإنترنت</t>
  </si>
  <si>
    <t>E) الأثاث والمعدات (CapEx + Depreciation)</t>
  </si>
  <si>
    <t>مكاتب</t>
  </si>
  <si>
    <t>كراسي</t>
  </si>
  <si>
    <t>خزائن</t>
  </si>
  <si>
    <t>أجهزة لابتوب</t>
  </si>
  <si>
    <t>شاشات</t>
  </si>
  <si>
    <t>سماعات</t>
  </si>
  <si>
    <t>أجهزة راوتر</t>
  </si>
  <si>
    <t>تُحسب كمصاريف رأسمالية + إهلاك سنوي.</t>
  </si>
  <si>
    <t>F) الأدوات المكتبية (Office Supplies)</t>
  </si>
  <si>
    <t>أوراق</t>
  </si>
  <si>
    <t>أحبار</t>
  </si>
  <si>
    <t>أقلام</t>
  </si>
  <si>
    <t>ملفات</t>
  </si>
  <si>
    <t>أدوات تنظيم</t>
  </si>
  <si>
    <t>G) أدوات العمل (Software Tools)</t>
  </si>
  <si>
    <t>Notion</t>
  </si>
  <si>
    <t>Slack</t>
  </si>
  <si>
    <t>Figma</t>
  </si>
  <si>
    <t>GitHub</t>
  </si>
  <si>
    <t>Google Workspace</t>
  </si>
  <si>
    <t>Zoom</t>
  </si>
  <si>
    <t>Calendly</t>
  </si>
  <si>
    <t>H) التسويق (Marketing)</t>
  </si>
  <si>
    <t>إعلانات</t>
  </si>
  <si>
    <t>محتوى</t>
  </si>
  <si>
    <t>تصميم</t>
  </si>
  <si>
    <t>فيديو</t>
  </si>
  <si>
    <t>إدارة سوشيال ميديا</t>
  </si>
  <si>
    <t>I) القانوني والمحاسبي (Legal &amp; Compliance)</t>
  </si>
  <si>
    <t>عقود</t>
  </si>
  <si>
    <t>محامي</t>
  </si>
  <si>
    <t>سياسة الخصوصية</t>
  </si>
  <si>
    <t>شروط الاستخدام</t>
  </si>
  <si>
    <t>رسوم حكومية</t>
  </si>
  <si>
    <t>اشتراك محاسبي</t>
  </si>
  <si>
    <t>J) السفر والاجتماعات (Travel &amp; Meetings)</t>
  </si>
  <si>
    <t>حضور فعاليات</t>
  </si>
  <si>
    <t>مقابلات عملاء</t>
  </si>
  <si>
    <t>زيارات ميدانية</t>
  </si>
  <si>
    <t>اجتماعات حكومية</t>
  </si>
  <si>
    <t>رسائل التحقق (OTP) و رسائل تحديثات الضيوف و رسائل للسائقين و رسائل تأكيد الحجوزات</t>
  </si>
  <si>
    <t>إرسال الإيميلات للضيوف تأكيد الدعوات إرسال الفواتير إشعارات النظام</t>
  </si>
  <si>
    <t>Maps API</t>
  </si>
  <si>
    <r>
      <t xml:space="preserve">في الفعاليات الكبيرة (تتبع مستمر): </t>
    </r>
    <r>
      <rPr>
        <b/>
        <sz val="11"/>
        <color theme="1"/>
        <rFont val="Calibri"/>
        <family val="2"/>
        <scheme val="minor"/>
      </rPr>
      <t>3,000 – 10,000 ريال</t>
    </r>
  </si>
  <si>
    <t>تشغيل المرشد الذكي "سعود" الردود الذكية الترجمة تحليل الطلبات تلخيص البيانات</t>
  </si>
  <si>
    <t>AI API Usage</t>
  </si>
  <si>
    <t>رسوم بوابة الدفع عند: شراء تذاكر دفع خدمات حجوزات Marketplace</t>
  </si>
  <si>
    <t>Storage</t>
  </si>
  <si>
    <t>سريع تحميل الصور تسريع تحميل الملفات تحسين أداء التطبيقات Cloudflare / AWS CloudFront</t>
  </si>
  <si>
    <t>CDN</t>
  </si>
  <si>
    <t>Grose Profit</t>
  </si>
  <si>
    <t>Total Cost</t>
  </si>
  <si>
    <t>Cost Of Revenue</t>
  </si>
  <si>
    <t>Office Rent</t>
  </si>
  <si>
    <t>Internet</t>
  </si>
  <si>
    <t>Utilities</t>
  </si>
  <si>
    <t>Furniture</t>
  </si>
  <si>
    <t>Laptops</t>
  </si>
  <si>
    <t>Office Supplies</t>
  </si>
  <si>
    <t>Software Tools</t>
  </si>
  <si>
    <t>Notion Slack Figma GitHub Google Workspace Zoom</t>
  </si>
  <si>
    <t>Maintenance</t>
  </si>
  <si>
    <t>Hosting / Cloud</t>
  </si>
  <si>
    <t>AWS / Azure / GCP</t>
  </si>
  <si>
    <t>DevOps Part-time</t>
  </si>
  <si>
    <t>Security Audit</t>
  </si>
  <si>
    <t>Marketing</t>
  </si>
  <si>
    <t>Legal &amp; Compliance</t>
  </si>
  <si>
    <t>Travel &amp; Meetings</t>
  </si>
  <si>
    <t>Product Launch Event</t>
  </si>
  <si>
    <t>Operating Expenses</t>
  </si>
  <si>
    <t>Total Operating Expenses</t>
  </si>
  <si>
    <t>EBITDA</t>
  </si>
  <si>
    <t>Depreciation</t>
  </si>
  <si>
    <t>Furniture DEP</t>
  </si>
  <si>
    <t>Laptops DEP</t>
  </si>
  <si>
    <t>Total DEP</t>
  </si>
  <si>
    <t xml:space="preserve">NET Profit </t>
  </si>
  <si>
    <t>Indirect cost</t>
  </si>
  <si>
    <t>NO. Campanies</t>
  </si>
  <si>
    <t>NO. Events</t>
  </si>
  <si>
    <t>NO. Guests</t>
  </si>
  <si>
    <t>NO. Guests In Project</t>
  </si>
  <si>
    <t>Direct Cost</t>
  </si>
  <si>
    <t xml:space="preserve">كلما زاد عدد الضيوف زادت المصاريف </t>
  </si>
  <si>
    <r>
      <t>المشكلة الثانية — تكاليف التقنية ثابتة وغير مرتبطة بالحجم</t>
    </r>
    <r>
      <rPr>
        <sz val="11"/>
        <color theme="1"/>
        <rFont val="Calibri"/>
        <family val="2"/>
        <scheme val="minor"/>
      </rPr>
      <t xml:space="preserve"> تكاليف الخرائط والرسائل القصيرة والذكاء الاصطناعي جميعها ثابتة سنوياً بصرف النظر عن عدد الضيوف. هذا خطأ كبير، لأن هذه التكاليف تزداد مع كل ضيف وكل فعالية. عند 11,250 ضيف في السيناريو المتوسط لسنة 2029، تكاليف الخرائط وحدها ستكون أضعاف الرقم المذكور.</t>
    </r>
  </si>
  <si>
    <t>اقتراحي أن تضع باقتين، الأولى مجانية بعمولة 18% وبدون أولوية ظهور، والثانية باشتراك بين 500 و 1,000 ريال شهرياً بعمولة 10% وبأولوية الظهور. هذا الرقم يغطي جزءاً من تكاليفك التشغيلية المباشرة ويعطي المورد حافزاً واضحاً للاشتراك.</t>
  </si>
  <si>
    <t xml:space="preserve">NO. Geust </t>
  </si>
  <si>
    <t>Push Notifications API</t>
  </si>
  <si>
    <t>و واجهة برمجية تسمح لتطبيقك بإرسال إشعارات للمستخدم حتى لو كان التطبيق مغلق أو غير نشط</t>
  </si>
  <si>
    <t xml:space="preserve"> Payment Gateway Fees هل بنحتاجه </t>
  </si>
  <si>
    <t>مراقبة أعطال النظام لحظياً</t>
  </si>
  <si>
    <t>تحليل سلوك المستخدمين</t>
  </si>
  <si>
    <t>Conferences &amp; Exhibitions Expenses</t>
  </si>
  <si>
    <t>Branding &amp; Visual Identity Design</t>
  </si>
  <si>
    <t>Civil Liability Insurance</t>
  </si>
  <si>
    <t>الرئيس التنفيذي</t>
  </si>
  <si>
    <t>Mobile Developer</t>
  </si>
  <si>
    <t>مطور كامل المستوى</t>
  </si>
  <si>
    <t>مطور تطبيقات الجوال</t>
  </si>
  <si>
    <t>مصمم واجهات المستخدم</t>
  </si>
  <si>
    <t>QA Engineer</t>
  </si>
  <si>
    <t>DevOps Engineer</t>
  </si>
  <si>
    <t>مهندس ضمان جودة</t>
  </si>
  <si>
    <t>مهندس DevOps</t>
  </si>
  <si>
    <t>Product / Operations Lead</t>
  </si>
  <si>
    <t>مدير العمليات والمنتج</t>
  </si>
  <si>
    <t>مسؤول دعم العملاء</t>
  </si>
  <si>
    <t>Business Development Manager</t>
  </si>
  <si>
    <t>Sales Manager</t>
  </si>
  <si>
    <t>Compliance / Cybersecurity Officer</t>
  </si>
  <si>
    <t>AI / ML Engineer</t>
  </si>
  <si>
    <t xml:space="preserve">نمو عدد الضيوف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</si>
</sst>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_);_(* \(#,##0\);_(* &quot;-&quot;??_);_(@_)"/>
    <numFmt numFmtId="165" formatCode="_(* #,##0_);_(* \(#,##0\);_(* &quot;-&quot;?_);_(@_)"/>
  </numFmts>
  <fonts count="15" x14ac:knownFonts="1">
    <font>
      <sz val="11"/>
      <color theme="1"/>
      <name val="Calibri"/>
      <family val="2"/>
      <scheme val="minor"/>
    </font>
    <font>
      <b/>
      <sz val="11"/>
      <name val="Calibri"/>
    </font>
    <font>
      <sz val="11"/>
      <color rgb="FF002060"/>
      <name val="Calibri"/>
      <family val="2"/>
      <scheme val="minor"/>
    </font>
    <font>
      <sz val="11"/>
      <color theme="3" tint="0.39997558519241921"/>
      <name val="Calibri"/>
      <family val="2"/>
      <scheme val="minor"/>
    </font>
    <font>
      <sz val="11"/>
      <color theme="1"/>
      <name val="Calibri"/>
      <family val="2"/>
      <scheme val="minor"/>
    </font>
    <font>
      <b/>
      <sz val="11"/>
      <color theme="1"/>
      <name val="Calibri"/>
      <family val="2"/>
      <scheme val="minor"/>
    </font>
    <font>
      <b/>
      <sz val="11"/>
      <color theme="3" tint="0.39997558519241921"/>
      <name val="Calibri"/>
      <family val="2"/>
      <scheme val="minor"/>
    </font>
    <font>
      <b/>
      <sz val="22"/>
      <color theme="3" tint="0.39997558519241921"/>
      <name val="Calibri"/>
      <family val="2"/>
      <scheme val="minor"/>
    </font>
    <font>
      <b/>
      <sz val="18"/>
      <name val="Calibri"/>
      <family val="2"/>
    </font>
    <font>
      <b/>
      <sz val="16"/>
      <color theme="1"/>
      <name val="Calibri"/>
      <family val="2"/>
      <scheme val="minor"/>
    </font>
    <font>
      <b/>
      <sz val="18"/>
      <color theme="1"/>
      <name val="Calibri"/>
      <family val="2"/>
      <scheme val="minor"/>
    </font>
    <font>
      <b/>
      <sz val="11"/>
      <name val="Calibri"/>
      <family val="2"/>
      <scheme val="minor"/>
    </font>
    <font>
      <b/>
      <sz val="16"/>
      <color theme="3" tint="0.39997558519241921"/>
      <name val="Calibri"/>
      <family val="2"/>
      <scheme val="minor"/>
    </font>
    <font>
      <sz val="9"/>
      <name val="Arial"/>
      <family val="2"/>
    </font>
    <font>
      <sz val="11"/>
      <name val="Calibri"/>
      <family val="2"/>
      <scheme val="minor"/>
    </font>
  </fonts>
  <fills count="7">
    <fill>
      <patternFill patternType="none"/>
    </fill>
    <fill>
      <patternFill patternType="gray125"/>
    </fill>
    <fill>
      <patternFill patternType="solid">
        <fgColor theme="0" tint="-0.249977111117893"/>
        <bgColor indexed="64"/>
      </patternFill>
    </fill>
    <fill>
      <patternFill patternType="solid">
        <fgColor theme="9" tint="0.39997558519241921"/>
        <bgColor indexed="64"/>
      </patternFill>
    </fill>
    <fill>
      <patternFill patternType="solid">
        <fgColor rgb="FF180238"/>
        <bgColor indexed="64"/>
      </patternFill>
    </fill>
    <fill>
      <patternFill patternType="solid">
        <fgColor rgb="FF1B0240"/>
        <bgColor indexed="64"/>
      </patternFill>
    </fill>
    <fill>
      <patternFill patternType="solid">
        <fgColor rgb="FFC00000"/>
        <bgColor indexed="64"/>
      </patternFill>
    </fill>
  </fills>
  <borders count="4">
    <border>
      <left/>
      <right/>
      <top/>
      <bottom/>
      <diagonal/>
    </border>
    <border>
      <left/>
      <right/>
      <top/>
      <bottom style="thin">
        <color indexed="64"/>
      </bottom>
      <diagonal/>
    </border>
    <border>
      <left/>
      <right/>
      <top style="thin">
        <color indexed="64"/>
      </top>
      <bottom/>
      <diagonal/>
    </border>
    <border>
      <left/>
      <right/>
      <top style="thin">
        <color indexed="64"/>
      </top>
      <bottom style="thin">
        <color indexed="64"/>
      </bottom>
      <diagonal/>
    </border>
  </borders>
  <cellStyleXfs count="2">
    <xf numFmtId="0" fontId="0" fillId="0" borderId="0"/>
    <xf numFmtId="43" fontId="4" fillId="0" borderId="0" applyFont="0" applyFill="0" applyBorder="0" applyAlignment="0" applyProtection="0"/>
  </cellStyleXfs>
  <cellXfs count="57">
    <xf numFmtId="0" fontId="0" fillId="0" borderId="0" xfId="0"/>
    <xf numFmtId="0" fontId="1" fillId="0" borderId="0" xfId="0" applyFont="1" applyAlignment="1">
      <alignment horizontal="center" vertical="center"/>
    </xf>
    <xf numFmtId="0" fontId="0" fillId="0" borderId="0" xfId="0" applyAlignment="1">
      <alignment horizontal="center" vertical="center"/>
    </xf>
    <xf numFmtId="0" fontId="0" fillId="0" borderId="0" xfId="0" applyAlignment="1">
      <alignment horizontal="left" vertical="center"/>
    </xf>
    <xf numFmtId="0" fontId="0" fillId="0" borderId="0" xfId="0" applyAlignment="1">
      <alignment horizontal="center"/>
    </xf>
    <xf numFmtId="0" fontId="0" fillId="2" borderId="1" xfId="0" applyFill="1" applyBorder="1" applyAlignment="1">
      <alignment horizontal="center"/>
    </xf>
    <xf numFmtId="0" fontId="0" fillId="2" borderId="0" xfId="0" applyFill="1"/>
    <xf numFmtId="0" fontId="3" fillId="0" borderId="0" xfId="0" applyFont="1"/>
    <xf numFmtId="164" fontId="0" fillId="0" borderId="0" xfId="1" applyNumberFormat="1" applyFont="1"/>
    <xf numFmtId="9" fontId="0" fillId="0" borderId="0" xfId="0" applyNumberFormat="1"/>
    <xf numFmtId="164" fontId="0" fillId="0" borderId="0" xfId="0" applyNumberFormat="1"/>
    <xf numFmtId="0" fontId="6" fillId="0" borderId="0" xfId="0" applyFont="1"/>
    <xf numFmtId="0" fontId="0" fillId="3" borderId="0" xfId="0" applyFill="1"/>
    <xf numFmtId="164" fontId="0" fillId="3" borderId="0" xfId="1" applyNumberFormat="1" applyFont="1" applyFill="1"/>
    <xf numFmtId="0" fontId="3" fillId="0" borderId="0" xfId="0" applyFont="1" applyAlignment="1">
      <alignment horizontal="center"/>
    </xf>
    <xf numFmtId="0" fontId="0" fillId="2" borderId="0" xfId="0" applyFill="1" applyAlignment="1">
      <alignment horizontal="center"/>
    </xf>
    <xf numFmtId="164" fontId="0" fillId="0" borderId="0" xfId="1" applyNumberFormat="1" applyFont="1" applyAlignment="1">
      <alignment horizontal="center" vertical="center"/>
    </xf>
    <xf numFmtId="0" fontId="5" fillId="3" borderId="0" xfId="0" applyFont="1" applyFill="1"/>
    <xf numFmtId="165" fontId="0" fillId="0" borderId="0" xfId="0" applyNumberFormat="1"/>
    <xf numFmtId="0" fontId="0" fillId="4" borderId="0" xfId="0" applyFill="1"/>
    <xf numFmtId="0" fontId="7" fillId="0" borderId="0" xfId="0" applyFont="1"/>
    <xf numFmtId="0" fontId="3" fillId="0" borderId="1" xfId="0" applyFont="1" applyBorder="1"/>
    <xf numFmtId="164" fontId="3" fillId="0" borderId="0" xfId="1" applyNumberFormat="1" applyFont="1"/>
    <xf numFmtId="164" fontId="3" fillId="0" borderId="0" xfId="1" applyNumberFormat="1" applyFont="1" applyFill="1" applyBorder="1"/>
    <xf numFmtId="1" fontId="3" fillId="0" borderId="1" xfId="1" applyNumberFormat="1" applyFont="1" applyBorder="1" applyAlignment="1">
      <alignment horizontal="center"/>
    </xf>
    <xf numFmtId="0" fontId="3" fillId="0" borderId="1" xfId="0" applyFont="1" applyBorder="1" applyAlignment="1">
      <alignment horizontal="center"/>
    </xf>
    <xf numFmtId="0" fontId="3" fillId="3" borderId="0" xfId="0" applyFont="1" applyFill="1"/>
    <xf numFmtId="0" fontId="8" fillId="0" borderId="0" xfId="0" applyFont="1" applyAlignment="1">
      <alignment horizontal="center" vertical="center"/>
    </xf>
    <xf numFmtId="0" fontId="0" fillId="0" borderId="0" xfId="0" applyAlignment="1">
      <alignment horizontal="left" vertical="center" indent="1"/>
    </xf>
    <xf numFmtId="0" fontId="9" fillId="0" borderId="0" xfId="0" applyFont="1"/>
    <xf numFmtId="0" fontId="3" fillId="0" borderId="0" xfId="0" applyFont="1" applyFill="1"/>
    <xf numFmtId="164" fontId="3" fillId="0" borderId="0" xfId="1" applyNumberFormat="1" applyFont="1" applyFill="1"/>
    <xf numFmtId="0" fontId="5" fillId="0" borderId="0" xfId="0" applyFont="1"/>
    <xf numFmtId="164" fontId="3" fillId="0" borderId="2" xfId="1" applyNumberFormat="1" applyFont="1" applyBorder="1"/>
    <xf numFmtId="0" fontId="10" fillId="0" borderId="0" xfId="0" applyFont="1" applyAlignment="1">
      <alignment vertical="center"/>
    </xf>
    <xf numFmtId="0" fontId="5" fillId="0" borderId="0" xfId="0" applyFont="1" applyAlignment="1">
      <alignment horizontal="left" vertical="center" indent="1"/>
    </xf>
    <xf numFmtId="0" fontId="0" fillId="0" borderId="0" xfId="0" applyBorder="1"/>
    <xf numFmtId="164" fontId="3" fillId="0" borderId="0" xfId="1" applyNumberFormat="1" applyFont="1" applyBorder="1"/>
    <xf numFmtId="0" fontId="0" fillId="0" borderId="0" xfId="0" applyAlignment="1">
      <alignment horizontal="right" vertical="center" wrapText="1" indent="1"/>
    </xf>
    <xf numFmtId="0" fontId="0" fillId="0" borderId="0" xfId="0" applyFont="1" applyAlignment="1">
      <alignment vertical="center"/>
    </xf>
    <xf numFmtId="0" fontId="0" fillId="0" borderId="0" xfId="0" applyAlignment="1">
      <alignment wrapText="1"/>
    </xf>
    <xf numFmtId="164" fontId="5" fillId="0" borderId="2" xfId="0" applyNumberFormat="1" applyFont="1" applyBorder="1"/>
    <xf numFmtId="164" fontId="5" fillId="0" borderId="2" xfId="1" applyNumberFormat="1" applyFont="1" applyBorder="1"/>
    <xf numFmtId="3" fontId="0" fillId="0" borderId="0" xfId="0" applyNumberFormat="1"/>
    <xf numFmtId="164" fontId="5" fillId="0" borderId="0" xfId="0" applyNumberFormat="1" applyFont="1"/>
    <xf numFmtId="164" fontId="0" fillId="0" borderId="0" xfId="0" applyNumberFormat="1" applyFont="1"/>
    <xf numFmtId="0" fontId="5" fillId="0" borderId="0" xfId="0" applyFont="1" applyAlignment="1">
      <alignment horizontal="center" vertical="center"/>
    </xf>
    <xf numFmtId="0" fontId="11" fillId="3" borderId="0" xfId="0" applyFont="1" applyFill="1"/>
    <xf numFmtId="164" fontId="5" fillId="3" borderId="0" xfId="1" applyNumberFormat="1" applyFont="1" applyFill="1"/>
    <xf numFmtId="0" fontId="11" fillId="0" borderId="0" xfId="0" applyFont="1"/>
    <xf numFmtId="164" fontId="5" fillId="0" borderId="3" xfId="0" applyNumberFormat="1" applyFont="1" applyBorder="1"/>
    <xf numFmtId="0" fontId="3" fillId="0" borderId="0" xfId="0" applyFont="1" applyBorder="1"/>
    <xf numFmtId="0" fontId="12" fillId="0" borderId="0" xfId="0" applyFont="1"/>
    <xf numFmtId="0" fontId="13" fillId="0" borderId="0" xfId="0" applyFont="1"/>
    <xf numFmtId="0" fontId="14" fillId="0" borderId="0" xfId="0" applyFont="1" applyBorder="1"/>
    <xf numFmtId="0" fontId="2" fillId="5" borderId="0" xfId="0" applyFont="1" applyFill="1" applyAlignment="1">
      <alignment horizontal="center"/>
    </xf>
    <xf numFmtId="0" fontId="0" fillId="6" borderId="0" xfId="0" applyFill="1"/>
  </cellXfs>
  <cellStyles count="2">
    <cellStyle name="Comma" xfId="1" builtinId="3"/>
    <cellStyle name="Normal" xfId="0" builtinId="0"/>
  </cellStyles>
  <dxfs count="0"/>
  <tableStyles count="0" defaultTableStyle="TableStyleMedium9" defaultPivotStyle="PivotStyleLight16"/>
  <colors>
    <mruColors>
      <color rgb="FF1B0240"/>
      <color rgb="FF180238"/>
      <color rgb="FF1E0345"/>
      <color rgb="FF1F0349"/>
      <color rgb="FF27035D"/>
      <color rgb="FF3C055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trlProps/ctrlProp1.xml><?xml version="1.0" encoding="utf-8"?>
<formControlPr xmlns="http://schemas.microsoft.com/office/spreadsheetml/2009/9/main" objectType="Drop" dropLines="3" dropStyle="combo" dx="31" fmlaLink="$B$6" fmlaRange="$C$11:$C$13" noThreeD="1" sel="3" val="0"/>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539750</xdr:colOff>
      <xdr:row>0</xdr:row>
      <xdr:rowOff>19049</xdr:rowOff>
    </xdr:from>
    <xdr:to>
      <xdr:col>6</xdr:col>
      <xdr:colOff>228600</xdr:colOff>
      <xdr:row>3</xdr:row>
      <xdr:rowOff>94860</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48250" y="19049"/>
          <a:ext cx="641350" cy="628261"/>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1</xdr:col>
          <xdr:colOff>0</xdr:colOff>
          <xdr:row>5</xdr:row>
          <xdr:rowOff>0</xdr:rowOff>
        </xdr:from>
        <xdr:to>
          <xdr:col>1</xdr:col>
          <xdr:colOff>1206500</xdr:colOff>
          <xdr:row>6</xdr:row>
          <xdr:rowOff>0</xdr:rowOff>
        </xdr:to>
        <xdr:sp macro="" textlink="">
          <xdr:nvSpPr>
            <xdr:cNvPr id="1025" name="Drop Down 1" hidden="1">
              <a:extLst>
                <a:ext uri="{63B3BB69-23CF-44E3-9099-C40C66FF867C}">
                  <a14:compatExt spid="_x0000_s1025"/>
                </a:ext>
                <a:ext uri="{FF2B5EF4-FFF2-40B4-BE49-F238E27FC236}">
                  <a16:creationId xmlns:a16="http://schemas.microsoft.com/office/drawing/2014/main" id="{00000000-0008-0000-0000-00000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trlProp" Target="../ctrlProps/ctrlProp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O360"/>
  <sheetViews>
    <sheetView showGridLines="0" zoomScale="83" zoomScaleNormal="83" workbookViewId="0">
      <selection activeCell="F182" sqref="F182"/>
    </sheetView>
  </sheetViews>
  <sheetFormatPr defaultRowHeight="14.5" x14ac:dyDescent="0.35"/>
  <cols>
    <col min="1" max="1" width="18.08984375" bestFit="1" customWidth="1"/>
    <col min="2" max="2" width="20.453125" bestFit="1" customWidth="1"/>
    <col min="3" max="3" width="32.7265625" bestFit="1" customWidth="1"/>
    <col min="4" max="4" width="7.54296875" bestFit="1" customWidth="1"/>
    <col min="5" max="5" width="1.54296875" customWidth="1"/>
    <col min="6" max="6" width="13.6328125" style="36" bestFit="1" customWidth="1"/>
    <col min="7" max="8" width="12.54296875" bestFit="1" customWidth="1"/>
    <col min="11" max="11" width="36.08984375" customWidth="1"/>
  </cols>
  <sheetData>
    <row r="1" spans="1:15" x14ac:dyDescent="0.35">
      <c r="A1" s="55"/>
      <c r="B1" s="55"/>
      <c r="C1" s="55"/>
      <c r="D1" s="55"/>
      <c r="E1" s="55"/>
      <c r="F1" s="55"/>
      <c r="G1" s="55"/>
      <c r="H1" s="55"/>
      <c r="I1" s="55"/>
      <c r="J1" s="55"/>
      <c r="K1" s="55"/>
      <c r="L1" s="55"/>
      <c r="M1" s="55"/>
      <c r="N1" s="55"/>
      <c r="O1" s="55"/>
    </row>
    <row r="2" spans="1:15" x14ac:dyDescent="0.35">
      <c r="A2" s="55"/>
      <c r="B2" s="55"/>
      <c r="C2" s="55"/>
      <c r="D2" s="55"/>
      <c r="E2" s="55"/>
      <c r="F2" s="55"/>
      <c r="G2" s="55"/>
      <c r="H2" s="55"/>
      <c r="I2" s="55"/>
      <c r="J2" s="55"/>
      <c r="K2" s="55"/>
      <c r="L2" s="55"/>
      <c r="M2" s="55"/>
      <c r="N2" s="55"/>
      <c r="O2" s="55"/>
    </row>
    <row r="3" spans="1:15" x14ac:dyDescent="0.35">
      <c r="A3" s="55"/>
      <c r="B3" s="55"/>
      <c r="C3" s="55"/>
      <c r="D3" s="55"/>
      <c r="E3" s="55"/>
      <c r="F3" s="55"/>
      <c r="G3" s="55"/>
      <c r="H3" s="55"/>
      <c r="I3" s="55"/>
      <c r="J3" s="55"/>
      <c r="K3" s="55"/>
      <c r="L3" s="55"/>
      <c r="M3" s="55"/>
      <c r="N3" s="55"/>
      <c r="O3" s="55"/>
    </row>
    <row r="4" spans="1:15" ht="8" customHeight="1" x14ac:dyDescent="0.35">
      <c r="A4" s="55"/>
      <c r="B4" s="55"/>
      <c r="C4" s="55"/>
      <c r="D4" s="55"/>
      <c r="E4" s="55"/>
      <c r="F4" s="55"/>
      <c r="G4" s="55"/>
      <c r="H4" s="55"/>
      <c r="I4" s="55"/>
      <c r="J4" s="55"/>
      <c r="K4" s="55"/>
      <c r="L4" s="55"/>
      <c r="M4" s="55"/>
      <c r="N4" s="55"/>
      <c r="O4" s="55"/>
    </row>
    <row r="5" spans="1:15" x14ac:dyDescent="0.35">
      <c r="A5" s="5" t="s">
        <v>25</v>
      </c>
      <c r="B5" s="5"/>
      <c r="C5" s="15"/>
      <c r="D5" s="15"/>
      <c r="E5" s="15"/>
      <c r="F5" s="15"/>
      <c r="G5" s="15"/>
      <c r="H5" s="15"/>
      <c r="I5" s="15"/>
      <c r="J5" s="15"/>
      <c r="K5" s="15"/>
      <c r="L5" s="15"/>
      <c r="M5" s="15"/>
      <c r="N5" s="15"/>
      <c r="O5" s="15"/>
    </row>
    <row r="6" spans="1:15" x14ac:dyDescent="0.35">
      <c r="A6" s="5" t="s">
        <v>2</v>
      </c>
      <c r="B6" s="5">
        <v>3</v>
      </c>
      <c r="C6" s="15"/>
      <c r="D6" s="15"/>
      <c r="E6" s="15"/>
      <c r="F6" s="15"/>
      <c r="G6" s="15"/>
      <c r="H6" s="15"/>
      <c r="I6" s="15"/>
      <c r="J6" s="15"/>
      <c r="K6" s="15"/>
      <c r="L6" s="15"/>
      <c r="M6" s="15"/>
      <c r="N6" s="15"/>
      <c r="O6" s="15"/>
    </row>
    <row r="7" spans="1:15" ht="23.5" x14ac:dyDescent="0.35">
      <c r="A7" s="27" t="s">
        <v>25</v>
      </c>
      <c r="B7" s="1"/>
      <c r="F7"/>
    </row>
    <row r="8" spans="1:15" x14ac:dyDescent="0.35">
      <c r="A8" s="3"/>
      <c r="B8" s="46" t="s">
        <v>161</v>
      </c>
      <c r="C8" s="7"/>
      <c r="D8" s="7"/>
      <c r="E8" s="7"/>
      <c r="F8" s="7">
        <v>2027</v>
      </c>
      <c r="G8" s="7">
        <v>2028</v>
      </c>
      <c r="H8" s="7">
        <v>2029</v>
      </c>
    </row>
    <row r="9" spans="1:15" x14ac:dyDescent="0.35">
      <c r="A9" s="3"/>
      <c r="B9" s="2"/>
      <c r="C9" s="6" t="s">
        <v>161</v>
      </c>
      <c r="D9" s="6"/>
      <c r="E9" s="6"/>
      <c r="F9" s="6" cm="1">
        <f t="array" ref="F9">INDEX(F11:F13,$B$6)</f>
        <v>3</v>
      </c>
      <c r="G9" s="6" cm="1">
        <f t="array" ref="G9">INDEX(G11:G13,$B$6)</f>
        <v>5</v>
      </c>
      <c r="H9" s="6" cm="1">
        <f t="array" ref="H9">INDEX(H11:H13,$B$6)</f>
        <v>10</v>
      </c>
    </row>
    <row r="10" spans="1:15" x14ac:dyDescent="0.35">
      <c r="A10" s="3"/>
      <c r="B10" s="2"/>
      <c r="F10"/>
    </row>
    <row r="11" spans="1:15" x14ac:dyDescent="0.35">
      <c r="A11" s="3"/>
      <c r="B11" s="2"/>
      <c r="C11" s="7" t="s">
        <v>3</v>
      </c>
      <c r="D11" s="7"/>
      <c r="E11" s="7"/>
      <c r="F11" s="7">
        <v>10</v>
      </c>
      <c r="G11" s="7">
        <v>15</v>
      </c>
      <c r="H11" s="7">
        <v>20</v>
      </c>
    </row>
    <row r="12" spans="1:15" x14ac:dyDescent="0.35">
      <c r="A12" s="3"/>
      <c r="B12" s="2"/>
      <c r="C12" s="7" t="s">
        <v>4</v>
      </c>
      <c r="D12" s="7"/>
      <c r="E12" s="7"/>
      <c r="F12" s="7">
        <v>8</v>
      </c>
      <c r="G12" s="7">
        <v>10</v>
      </c>
      <c r="H12" s="7">
        <v>15</v>
      </c>
    </row>
    <row r="13" spans="1:15" x14ac:dyDescent="0.35">
      <c r="A13" s="3"/>
      <c r="B13" s="2"/>
      <c r="C13" s="7" t="s">
        <v>5</v>
      </c>
      <c r="D13" s="7"/>
      <c r="E13" s="7"/>
      <c r="F13" s="7">
        <v>3</v>
      </c>
      <c r="G13" s="7">
        <v>5</v>
      </c>
      <c r="H13" s="7">
        <v>10</v>
      </c>
    </row>
    <row r="14" spans="1:15" x14ac:dyDescent="0.35">
      <c r="A14" s="3"/>
      <c r="B14" s="2"/>
      <c r="F14"/>
    </row>
    <row r="15" spans="1:15" x14ac:dyDescent="0.35">
      <c r="A15" s="3"/>
      <c r="B15" s="2"/>
      <c r="F15"/>
    </row>
    <row r="16" spans="1:15" x14ac:dyDescent="0.35">
      <c r="A16" s="3"/>
      <c r="B16" s="46" t="s">
        <v>162</v>
      </c>
      <c r="C16" s="7"/>
      <c r="F16" s="7">
        <f>F8</f>
        <v>2027</v>
      </c>
      <c r="G16" s="7">
        <f t="shared" ref="G16:H16" si="0">G8</f>
        <v>2028</v>
      </c>
      <c r="H16" s="7">
        <f t="shared" si="0"/>
        <v>2029</v>
      </c>
    </row>
    <row r="17" spans="1:10" x14ac:dyDescent="0.35">
      <c r="A17" s="3"/>
      <c r="B17" s="2"/>
      <c r="C17" s="6" t="s">
        <v>6</v>
      </c>
      <c r="D17" s="6"/>
      <c r="E17" s="6"/>
      <c r="F17" s="6" cm="1">
        <f t="array" ref="F17">INDEX(F19:F21,$B$6)</f>
        <v>12</v>
      </c>
      <c r="G17" s="6" cm="1">
        <f t="array" ref="G17">INDEX(G19:G21,$B$6)</f>
        <v>20</v>
      </c>
      <c r="H17" s="6" cm="1">
        <f t="array" ref="H17">INDEX(H19:H21,$B$6)</f>
        <v>40</v>
      </c>
    </row>
    <row r="18" spans="1:10" x14ac:dyDescent="0.35">
      <c r="F18"/>
    </row>
    <row r="19" spans="1:10" x14ac:dyDescent="0.35">
      <c r="C19" s="7" t="s">
        <v>3</v>
      </c>
      <c r="F19" s="7">
        <f>F11*7</f>
        <v>70</v>
      </c>
      <c r="G19" s="7">
        <f t="shared" ref="G19:H19" si="1">G11*7</f>
        <v>105</v>
      </c>
      <c r="H19" s="7">
        <f t="shared" si="1"/>
        <v>140</v>
      </c>
    </row>
    <row r="20" spans="1:10" x14ac:dyDescent="0.35">
      <c r="C20" s="7" t="s">
        <v>4</v>
      </c>
      <c r="F20" s="7">
        <f>F12*5</f>
        <v>40</v>
      </c>
      <c r="G20" s="7">
        <f t="shared" ref="G20:H20" si="2">G12*5</f>
        <v>50</v>
      </c>
      <c r="H20" s="7">
        <f t="shared" si="2"/>
        <v>75</v>
      </c>
    </row>
    <row r="21" spans="1:10" x14ac:dyDescent="0.35">
      <c r="C21" s="7" t="s">
        <v>5</v>
      </c>
      <c r="F21" s="7">
        <f>F13*4</f>
        <v>12</v>
      </c>
      <c r="G21" s="7">
        <f t="shared" ref="G21:H21" si="3">G13*4</f>
        <v>20</v>
      </c>
      <c r="H21" s="7">
        <f t="shared" si="3"/>
        <v>40</v>
      </c>
    </row>
    <row r="22" spans="1:10" x14ac:dyDescent="0.35">
      <c r="F22"/>
    </row>
    <row r="23" spans="1:10" x14ac:dyDescent="0.35">
      <c r="B23" s="32" t="s">
        <v>163</v>
      </c>
      <c r="C23" s="7"/>
      <c r="F23" s="14">
        <f>F16</f>
        <v>2027</v>
      </c>
      <c r="G23" s="14">
        <f t="shared" ref="G23:H23" si="4">G16</f>
        <v>2028</v>
      </c>
      <c r="H23" s="14">
        <f t="shared" si="4"/>
        <v>2029</v>
      </c>
    </row>
    <row r="24" spans="1:10" x14ac:dyDescent="0.35">
      <c r="C24" s="6" t="s">
        <v>11</v>
      </c>
      <c r="D24" s="6"/>
      <c r="E24" s="6"/>
      <c r="F24" s="15" cm="1">
        <f t="array" ref="F24">INDEX(F53:F55,$B$6)</f>
        <v>3600</v>
      </c>
      <c r="G24" s="15" cm="1">
        <f t="array" ref="G24">INDEX(G53:G55,$B$6)</f>
        <v>6000</v>
      </c>
      <c r="H24" s="15" cm="1">
        <f t="array" ref="H24">INDEX(H53:H55,$B$6)</f>
        <v>12000</v>
      </c>
    </row>
    <row r="25" spans="1:10" x14ac:dyDescent="0.35">
      <c r="F25"/>
    </row>
    <row r="26" spans="1:10" x14ac:dyDescent="0.35">
      <c r="B26" s="32" t="s">
        <v>164</v>
      </c>
      <c r="C26" s="7"/>
      <c r="F26" s="14">
        <f>F23</f>
        <v>2027</v>
      </c>
      <c r="G26" s="14">
        <f t="shared" ref="G26:H26" si="5">G23</f>
        <v>2028</v>
      </c>
      <c r="H26" s="14">
        <f t="shared" si="5"/>
        <v>2029</v>
      </c>
      <c r="J26" s="56"/>
    </row>
    <row r="27" spans="1:10" x14ac:dyDescent="0.35">
      <c r="C27" s="7" t="s">
        <v>3</v>
      </c>
      <c r="F27" s="4">
        <v>200</v>
      </c>
      <c r="G27" s="4">
        <v>200</v>
      </c>
      <c r="H27" s="4">
        <v>200</v>
      </c>
      <c r="J27" t="s">
        <v>194</v>
      </c>
    </row>
    <row r="28" spans="1:10" x14ac:dyDescent="0.35">
      <c r="C28" s="7" t="s">
        <v>4</v>
      </c>
      <c r="F28" s="4">
        <v>150</v>
      </c>
      <c r="G28" s="4">
        <v>150</v>
      </c>
      <c r="H28" s="4">
        <v>150</v>
      </c>
    </row>
    <row r="29" spans="1:10" x14ac:dyDescent="0.35">
      <c r="C29" s="7" t="s">
        <v>5</v>
      </c>
      <c r="F29" s="4">
        <v>100</v>
      </c>
      <c r="G29" s="4">
        <v>100</v>
      </c>
      <c r="H29" s="4">
        <v>100</v>
      </c>
    </row>
    <row r="30" spans="1:10" x14ac:dyDescent="0.35">
      <c r="F30"/>
    </row>
    <row r="31" spans="1:10" x14ac:dyDescent="0.35">
      <c r="B31" s="32" t="s">
        <v>7</v>
      </c>
      <c r="C31" s="7"/>
      <c r="F31" s="14">
        <f>F26</f>
        <v>2027</v>
      </c>
      <c r="G31" s="14">
        <f t="shared" ref="G31:H31" si="6">G26</f>
        <v>2028</v>
      </c>
      <c r="H31" s="14">
        <f t="shared" si="6"/>
        <v>2029</v>
      </c>
    </row>
    <row r="32" spans="1:10" x14ac:dyDescent="0.35">
      <c r="C32" s="7" t="s">
        <v>3</v>
      </c>
      <c r="F32" s="16">
        <f>F27*F19</f>
        <v>14000</v>
      </c>
      <c r="G32" s="16">
        <f t="shared" ref="G32:H32" si="7">G27*G19</f>
        <v>21000</v>
      </c>
      <c r="H32" s="16">
        <f t="shared" si="7"/>
        <v>28000</v>
      </c>
    </row>
    <row r="33" spans="2:12" x14ac:dyDescent="0.35">
      <c r="C33" s="7" t="s">
        <v>4</v>
      </c>
      <c r="F33" s="16">
        <f>F28*F20</f>
        <v>6000</v>
      </c>
      <c r="G33" s="16">
        <f t="shared" ref="G33:H33" si="8">G28*G20</f>
        <v>7500</v>
      </c>
      <c r="H33" s="16">
        <f t="shared" si="8"/>
        <v>11250</v>
      </c>
    </row>
    <row r="34" spans="2:12" x14ac:dyDescent="0.35">
      <c r="C34" s="7" t="s">
        <v>5</v>
      </c>
      <c r="F34" s="16">
        <f>F21*F29</f>
        <v>1200</v>
      </c>
      <c r="G34" s="16">
        <f t="shared" ref="G34:H34" si="9">G21*G29</f>
        <v>2000</v>
      </c>
      <c r="H34" s="16">
        <f t="shared" si="9"/>
        <v>4000</v>
      </c>
    </row>
    <row r="35" spans="2:12" x14ac:dyDescent="0.35">
      <c r="F35"/>
    </row>
    <row r="36" spans="2:12" x14ac:dyDescent="0.35">
      <c r="F36"/>
      <c r="K36" s="10"/>
      <c r="L36" s="10"/>
    </row>
    <row r="37" spans="2:12" x14ac:dyDescent="0.35">
      <c r="F37"/>
    </row>
    <row r="38" spans="2:12" x14ac:dyDescent="0.35">
      <c r="B38" s="32" t="s">
        <v>8</v>
      </c>
      <c r="C38" s="7"/>
      <c r="F38" s="14">
        <f>F31</f>
        <v>2027</v>
      </c>
      <c r="G38" s="14">
        <f t="shared" ref="G38:H38" si="10">G31</f>
        <v>2028</v>
      </c>
      <c r="H38" s="14">
        <f t="shared" si="10"/>
        <v>2029</v>
      </c>
    </row>
    <row r="39" spans="2:12" x14ac:dyDescent="0.35">
      <c r="C39" s="7" t="s">
        <v>3</v>
      </c>
      <c r="F39" s="9">
        <v>0.5</v>
      </c>
      <c r="G39" s="9">
        <v>0.5</v>
      </c>
      <c r="H39" s="9">
        <v>0.5</v>
      </c>
    </row>
    <row r="40" spans="2:12" x14ac:dyDescent="0.35">
      <c r="C40" s="7" t="s">
        <v>4</v>
      </c>
      <c r="F40" s="9">
        <v>0.25</v>
      </c>
      <c r="G40" s="9">
        <v>0.25</v>
      </c>
      <c r="H40" s="9">
        <v>0.25</v>
      </c>
    </row>
    <row r="41" spans="2:12" x14ac:dyDescent="0.35">
      <c r="C41" s="7" t="s">
        <v>5</v>
      </c>
      <c r="F41" s="9">
        <v>0.1</v>
      </c>
      <c r="G41" s="9">
        <v>0.1</v>
      </c>
      <c r="H41" s="9">
        <v>0.1</v>
      </c>
    </row>
    <row r="42" spans="2:12" x14ac:dyDescent="0.35">
      <c r="F42"/>
    </row>
    <row r="43" spans="2:12" x14ac:dyDescent="0.35">
      <c r="F43"/>
    </row>
    <row r="44" spans="2:12" x14ac:dyDescent="0.35">
      <c r="B44" s="32" t="s">
        <v>9</v>
      </c>
      <c r="C44" s="7"/>
      <c r="F44" s="14">
        <f>F38</f>
        <v>2027</v>
      </c>
      <c r="G44" s="14">
        <f t="shared" ref="G44:H44" si="11">G38</f>
        <v>2028</v>
      </c>
      <c r="H44" s="14">
        <f t="shared" si="11"/>
        <v>2029</v>
      </c>
    </row>
    <row r="45" spans="2:12" x14ac:dyDescent="0.35">
      <c r="C45" s="7" t="s">
        <v>3</v>
      </c>
      <c r="F45">
        <v>30</v>
      </c>
      <c r="G45">
        <v>30</v>
      </c>
      <c r="H45">
        <v>30</v>
      </c>
    </row>
    <row r="46" spans="2:12" x14ac:dyDescent="0.35">
      <c r="C46" s="7" t="s">
        <v>4</v>
      </c>
      <c r="F46">
        <v>30</v>
      </c>
      <c r="G46">
        <v>30</v>
      </c>
      <c r="H46">
        <v>30</v>
      </c>
    </row>
    <row r="47" spans="2:12" x14ac:dyDescent="0.35">
      <c r="C47" s="7" t="s">
        <v>5</v>
      </c>
      <c r="F47">
        <v>30</v>
      </c>
      <c r="G47">
        <v>30</v>
      </c>
      <c r="H47">
        <v>30</v>
      </c>
    </row>
    <row r="48" spans="2:12" x14ac:dyDescent="0.35">
      <c r="F48"/>
    </row>
    <row r="49" spans="2:11" x14ac:dyDescent="0.35">
      <c r="F49" s="14">
        <f>F44</f>
        <v>2027</v>
      </c>
      <c r="G49" s="14">
        <f t="shared" ref="G49:H49" si="12">G44</f>
        <v>2028</v>
      </c>
      <c r="H49" s="14">
        <f t="shared" si="12"/>
        <v>2029</v>
      </c>
    </row>
    <row r="50" spans="2:11" x14ac:dyDescent="0.35">
      <c r="C50" s="47" t="s">
        <v>10</v>
      </c>
      <c r="D50" s="12"/>
      <c r="E50" s="12"/>
      <c r="F50" s="48" cm="1">
        <f t="array" ref="F50">INDEX(F53:F55,$B$6)</f>
        <v>3600</v>
      </c>
      <c r="G50" s="48" cm="1">
        <f t="array" ref="G50">INDEX(G53:G55,$B$6)</f>
        <v>6000</v>
      </c>
      <c r="H50" s="48" cm="1">
        <f t="array" ref="H50">INDEX(H53:H55,$B$6)</f>
        <v>12000</v>
      </c>
      <c r="K50" s="10"/>
    </row>
    <row r="51" spans="2:11" x14ac:dyDescent="0.35">
      <c r="F51"/>
    </row>
    <row r="52" spans="2:11" x14ac:dyDescent="0.35">
      <c r="B52" s="32" t="s">
        <v>10</v>
      </c>
      <c r="C52" s="7"/>
      <c r="F52" s="7">
        <f>F49</f>
        <v>2027</v>
      </c>
      <c r="G52" s="7">
        <f t="shared" ref="G52:H52" si="13">G49</f>
        <v>2028</v>
      </c>
      <c r="H52" s="7">
        <f t="shared" si="13"/>
        <v>2029</v>
      </c>
    </row>
    <row r="53" spans="2:11" x14ac:dyDescent="0.35">
      <c r="C53" s="7" t="s">
        <v>3</v>
      </c>
      <c r="F53" s="8">
        <f>F45*F39*F32</f>
        <v>210000</v>
      </c>
      <c r="G53" s="8">
        <f t="shared" ref="G53:H53" si="14">G45*G39*G32</f>
        <v>315000</v>
      </c>
      <c r="H53" s="8">
        <f t="shared" si="14"/>
        <v>420000</v>
      </c>
    </row>
    <row r="54" spans="2:11" x14ac:dyDescent="0.35">
      <c r="C54" s="7" t="s">
        <v>4</v>
      </c>
      <c r="F54" s="8">
        <f>F46*F40*F33</f>
        <v>45000</v>
      </c>
      <c r="G54" s="8">
        <f t="shared" ref="G54:H54" si="15">G46*G40*G33</f>
        <v>56250</v>
      </c>
      <c r="H54" s="8">
        <f t="shared" si="15"/>
        <v>84375</v>
      </c>
    </row>
    <row r="55" spans="2:11" x14ac:dyDescent="0.35">
      <c r="C55" s="7" t="s">
        <v>5</v>
      </c>
      <c r="F55" s="8">
        <f>F47*F41*F34</f>
        <v>3600</v>
      </c>
      <c r="G55" s="8">
        <f t="shared" ref="G55:H55" si="16">G47*G41*G34</f>
        <v>6000</v>
      </c>
      <c r="H55" s="8">
        <f t="shared" si="16"/>
        <v>12000</v>
      </c>
    </row>
    <row r="56" spans="2:11" x14ac:dyDescent="0.35">
      <c r="F56"/>
    </row>
    <row r="57" spans="2:11" x14ac:dyDescent="0.35">
      <c r="B57" s="32" t="s">
        <v>18</v>
      </c>
      <c r="C57" s="11"/>
      <c r="F57" s="14">
        <f>F52</f>
        <v>2027</v>
      </c>
      <c r="G57" s="14">
        <f t="shared" ref="G57:H57" si="17">G52</f>
        <v>2028</v>
      </c>
      <c r="H57" s="14">
        <f t="shared" si="17"/>
        <v>2029</v>
      </c>
    </row>
    <row r="58" spans="2:11" x14ac:dyDescent="0.35">
      <c r="C58" s="17" t="s">
        <v>20</v>
      </c>
      <c r="D58" s="12"/>
      <c r="E58" s="12"/>
      <c r="F58" s="13" cm="1">
        <f t="array" ref="F58">INDEX(F63:F65,$B$6)</f>
        <v>327600.00000000006</v>
      </c>
      <c r="G58" s="13" cm="1">
        <f t="array" ref="G58">INDEX(G63:G65,$B$6)</f>
        <v>546000.00000000012</v>
      </c>
      <c r="H58" s="13" cm="1">
        <f t="array" ref="H58">INDEX(H63:H65,$B$6)</f>
        <v>1092000.0000000002</v>
      </c>
    </row>
    <row r="59" spans="2:11" x14ac:dyDescent="0.35">
      <c r="C59" s="17" t="s">
        <v>21</v>
      </c>
      <c r="D59" s="12"/>
      <c r="E59" s="12"/>
      <c r="F59" s="13" cm="1">
        <f t="array" ref="F59">INDEX(F68:F70,$B$6)</f>
        <v>147000</v>
      </c>
      <c r="G59" s="13" cm="1">
        <f t="array" ref="G59">INDEX(G68:G70,$B$6)</f>
        <v>245000</v>
      </c>
      <c r="H59" s="13" cm="1">
        <f t="array" ref="H59">INDEX(H68:H70,$B$6)</f>
        <v>490000</v>
      </c>
    </row>
    <row r="60" spans="2:11" x14ac:dyDescent="0.35">
      <c r="C60" s="17" t="s">
        <v>22</v>
      </c>
      <c r="D60" s="17"/>
      <c r="E60" s="12"/>
      <c r="F60" s="13" cm="1">
        <f t="array" ref="F60">INDEX(F73:F75,$B$6)</f>
        <v>384000</v>
      </c>
      <c r="G60" s="13" cm="1">
        <f t="array" ref="G60">INDEX(G73:G75,$B$6)</f>
        <v>640000</v>
      </c>
      <c r="H60" s="13" cm="1">
        <f t="array" ref="H60">INDEX(H73:H75,$B$6)</f>
        <v>1280000</v>
      </c>
    </row>
    <row r="61" spans="2:11" x14ac:dyDescent="0.35">
      <c r="B61" s="7"/>
      <c r="C61" s="17" t="s">
        <v>18</v>
      </c>
      <c r="D61" s="17"/>
      <c r="E61" s="12"/>
      <c r="F61" s="13">
        <f>SUM(F58:F60)</f>
        <v>858600</v>
      </c>
      <c r="G61" s="13">
        <f t="shared" ref="G61:H61" si="18">SUM(G58:G60)</f>
        <v>1431000</v>
      </c>
      <c r="H61" s="13">
        <f t="shared" si="18"/>
        <v>2862000</v>
      </c>
    </row>
    <row r="62" spans="2:11" x14ac:dyDescent="0.35">
      <c r="B62" s="32" t="s">
        <v>19</v>
      </c>
      <c r="C62" s="11"/>
      <c r="F62" s="7">
        <f>F57</f>
        <v>2027</v>
      </c>
      <c r="G62" s="7">
        <f t="shared" ref="G62:H62" si="19">G57</f>
        <v>2028</v>
      </c>
      <c r="H62" s="7">
        <f t="shared" si="19"/>
        <v>2029</v>
      </c>
    </row>
    <row r="63" spans="2:11" x14ac:dyDescent="0.35">
      <c r="C63" s="7" t="s">
        <v>3</v>
      </c>
      <c r="F63" s="8">
        <f>((((F27/4)*F19)*1300)*14%)*6</f>
        <v>3822000.0000000009</v>
      </c>
      <c r="G63" s="8">
        <f t="shared" ref="G63:H63" si="20">((((G27/4)*G19)*1300)*14%)*6</f>
        <v>5733000.0000000009</v>
      </c>
      <c r="H63" s="8">
        <f t="shared" si="20"/>
        <v>7644000.0000000019</v>
      </c>
    </row>
    <row r="64" spans="2:11" x14ac:dyDescent="0.35">
      <c r="C64" s="7" t="s">
        <v>4</v>
      </c>
      <c r="F64" s="10">
        <f>((((F28/4)*F20)*1300)*14%)*6</f>
        <v>1638000</v>
      </c>
      <c r="G64" s="10">
        <f t="shared" ref="G64:H64" si="21">((((G28/4)*G20)*1300)*14%)*6</f>
        <v>2047500.0000000005</v>
      </c>
      <c r="H64" s="10">
        <f t="shared" si="21"/>
        <v>3071250.0000000005</v>
      </c>
    </row>
    <row r="65" spans="1:12" x14ac:dyDescent="0.35">
      <c r="C65" s="7" t="s">
        <v>5</v>
      </c>
      <c r="F65" s="10">
        <f>((((F29/4)*F21)*1300)*14%)*6</f>
        <v>327600.00000000006</v>
      </c>
      <c r="G65" s="10">
        <f t="shared" ref="G65:H65" si="22">((((G29/4)*G21)*1300)*14%)*6</f>
        <v>546000.00000000012</v>
      </c>
      <c r="H65" s="10">
        <f t="shared" si="22"/>
        <v>1092000.0000000002</v>
      </c>
    </row>
    <row r="66" spans="1:12" x14ac:dyDescent="0.35">
      <c r="C66" s="7"/>
      <c r="F66"/>
    </row>
    <row r="67" spans="1:12" x14ac:dyDescent="0.35">
      <c r="B67" s="32" t="s">
        <v>21</v>
      </c>
      <c r="C67" s="11"/>
      <c r="F67" s="7">
        <f>F62</f>
        <v>2027</v>
      </c>
      <c r="G67" s="7">
        <f t="shared" ref="G67:H67" si="23">G62</f>
        <v>2028</v>
      </c>
      <c r="H67" s="7">
        <f t="shared" si="23"/>
        <v>2029</v>
      </c>
    </row>
    <row r="68" spans="1:12" x14ac:dyDescent="0.35">
      <c r="C68" s="7" t="s">
        <v>3</v>
      </c>
      <c r="F68" s="10">
        <f>((F32*70%)*3500)*5%</f>
        <v>1715000</v>
      </c>
      <c r="G68" s="10">
        <f t="shared" ref="G68:H68" si="24">((G32*70%)*3500)*5%</f>
        <v>2572500</v>
      </c>
      <c r="H68" s="10">
        <f t="shared" si="24"/>
        <v>3430000</v>
      </c>
    </row>
    <row r="69" spans="1:12" x14ac:dyDescent="0.35">
      <c r="C69" s="7" t="s">
        <v>4</v>
      </c>
      <c r="F69" s="10">
        <f>((F33*70%)*3500)*5%</f>
        <v>735000</v>
      </c>
      <c r="G69" s="10">
        <f t="shared" ref="G69:H69" si="25">((G33*70%)*3500)*5%</f>
        <v>918750</v>
      </c>
      <c r="H69" s="10">
        <f t="shared" si="25"/>
        <v>1378125</v>
      </c>
    </row>
    <row r="70" spans="1:12" x14ac:dyDescent="0.35">
      <c r="C70" s="7" t="s">
        <v>5</v>
      </c>
      <c r="F70" s="10">
        <f>((F34*70%)*3500)*5%</f>
        <v>147000</v>
      </c>
      <c r="G70" s="10">
        <f t="shared" ref="G70:H70" si="26">((G34*70%)*3500)*5%</f>
        <v>245000</v>
      </c>
      <c r="H70" s="10">
        <f t="shared" si="26"/>
        <v>490000</v>
      </c>
    </row>
    <row r="71" spans="1:12" x14ac:dyDescent="0.35">
      <c r="F71"/>
    </row>
    <row r="72" spans="1:12" x14ac:dyDescent="0.35">
      <c r="B72" s="32" t="s">
        <v>22</v>
      </c>
      <c r="C72" s="11"/>
      <c r="F72" s="21">
        <f>F67</f>
        <v>2027</v>
      </c>
      <c r="G72" s="21">
        <f t="shared" ref="G72:H72" si="27">G67</f>
        <v>2028</v>
      </c>
      <c r="H72" s="21">
        <f t="shared" si="27"/>
        <v>2029</v>
      </c>
    </row>
    <row r="73" spans="1:12" x14ac:dyDescent="0.35">
      <c r="C73" s="7" t="s">
        <v>3</v>
      </c>
      <c r="F73" s="18">
        <f>(F32/1.5)*1200*4*10%</f>
        <v>4480000</v>
      </c>
      <c r="G73" s="18">
        <f t="shared" ref="G73:H73" si="28">(G32/1.5)*1200*4*10%</f>
        <v>6720000</v>
      </c>
      <c r="H73" s="18">
        <f t="shared" si="28"/>
        <v>8960000</v>
      </c>
    </row>
    <row r="74" spans="1:12" x14ac:dyDescent="0.35">
      <c r="C74" s="7" t="s">
        <v>4</v>
      </c>
      <c r="F74" s="18">
        <f>(F33/1.5)*1200*4*10%</f>
        <v>1920000</v>
      </c>
      <c r="G74" s="18">
        <f t="shared" ref="G74:H74" si="29">(G33/1.5)*1200*4*10%</f>
        <v>2400000</v>
      </c>
      <c r="H74" s="18">
        <f t="shared" si="29"/>
        <v>3600000</v>
      </c>
    </row>
    <row r="75" spans="1:12" x14ac:dyDescent="0.35">
      <c r="C75" s="7" t="s">
        <v>5</v>
      </c>
      <c r="F75" s="18">
        <f>(F34/1.5)*1200*4*10%</f>
        <v>384000</v>
      </c>
      <c r="G75" s="18">
        <f t="shared" ref="G75:H75" si="30">(G34/1.5)*1200*4*10%</f>
        <v>640000</v>
      </c>
      <c r="H75" s="18">
        <f t="shared" si="30"/>
        <v>1280000</v>
      </c>
    </row>
    <row r="76" spans="1:12" x14ac:dyDescent="0.35">
      <c r="A76" s="19"/>
      <c r="B76" s="19"/>
      <c r="C76" s="19"/>
      <c r="D76" s="19"/>
      <c r="E76" s="19"/>
      <c r="F76" s="19"/>
      <c r="G76" s="19"/>
      <c r="H76" s="19"/>
      <c r="I76" s="19"/>
      <c r="J76" s="19"/>
      <c r="K76" s="19"/>
      <c r="L76" s="19"/>
    </row>
    <row r="77" spans="1:12" x14ac:dyDescent="0.35">
      <c r="A77" s="19"/>
      <c r="B77" s="19"/>
      <c r="C77" s="19"/>
      <c r="D77" s="19"/>
      <c r="E77" s="19"/>
      <c r="F77" s="19"/>
      <c r="G77" s="19"/>
      <c r="H77" s="19"/>
      <c r="I77" s="19"/>
      <c r="J77" s="19"/>
      <c r="K77" s="19"/>
      <c r="L77" s="19"/>
    </row>
    <row r="78" spans="1:12" ht="28.5" x14ac:dyDescent="0.65">
      <c r="A78" s="20" t="s">
        <v>1</v>
      </c>
      <c r="F78"/>
    </row>
    <row r="79" spans="1:12" x14ac:dyDescent="0.35">
      <c r="A79" s="7"/>
      <c r="C79" s="26" t="s">
        <v>26</v>
      </c>
      <c r="D79" s="12"/>
      <c r="E79" s="12"/>
      <c r="F79" s="13" cm="1">
        <f t="array" ref="F79">INDEX(F86:F88,$B$6)</f>
        <v>40000</v>
      </c>
    </row>
    <row r="80" spans="1:12" x14ac:dyDescent="0.35">
      <c r="A80" s="7"/>
      <c r="C80" s="26" t="s">
        <v>27</v>
      </c>
      <c r="D80" s="12"/>
      <c r="E80" s="12"/>
      <c r="F80" s="13" cm="1">
        <f t="array" ref="F80">INDEX(F92:F94,$B$6)</f>
        <v>30000</v>
      </c>
    </row>
    <row r="81" spans="1:6" x14ac:dyDescent="0.35">
      <c r="A81" s="7"/>
      <c r="C81" s="26" t="s">
        <v>28</v>
      </c>
      <c r="D81" s="12"/>
      <c r="E81" s="12"/>
      <c r="F81" s="13" cm="1">
        <f t="array" ref="F81">INDEX(F97:F99,$B$6)</f>
        <v>30000</v>
      </c>
    </row>
    <row r="82" spans="1:6" x14ac:dyDescent="0.35">
      <c r="C82" s="26" t="s">
        <v>29</v>
      </c>
      <c r="D82" s="12"/>
      <c r="E82" s="12"/>
      <c r="F82" s="13" cm="1">
        <f t="array" ref="F82">INDEX(F102:F104,$B$6)</f>
        <v>40000</v>
      </c>
    </row>
    <row r="83" spans="1:6" x14ac:dyDescent="0.35">
      <c r="F83"/>
    </row>
    <row r="84" spans="1:6" x14ac:dyDescent="0.35">
      <c r="F84"/>
    </row>
    <row r="85" spans="1:6" x14ac:dyDescent="0.35">
      <c r="B85" s="49" t="s">
        <v>26</v>
      </c>
      <c r="F85" s="25">
        <v>2027</v>
      </c>
    </row>
    <row r="86" spans="1:6" x14ac:dyDescent="0.35">
      <c r="C86" s="7" t="s">
        <v>3</v>
      </c>
      <c r="F86" s="22">
        <v>70000</v>
      </c>
    </row>
    <row r="87" spans="1:6" x14ac:dyDescent="0.35">
      <c r="C87" s="7" t="s">
        <v>4</v>
      </c>
      <c r="F87" s="22">
        <v>55000</v>
      </c>
    </row>
    <row r="88" spans="1:6" x14ac:dyDescent="0.35">
      <c r="C88" s="7" t="s">
        <v>5</v>
      </c>
      <c r="F88" s="22">
        <v>40000</v>
      </c>
    </row>
    <row r="89" spans="1:6" x14ac:dyDescent="0.35">
      <c r="F89" s="8"/>
    </row>
    <row r="90" spans="1:6" x14ac:dyDescent="0.35">
      <c r="F90" s="8"/>
    </row>
    <row r="91" spans="1:6" x14ac:dyDescent="0.35">
      <c r="B91" s="49" t="s">
        <v>27</v>
      </c>
      <c r="F91" s="24">
        <v>2027</v>
      </c>
    </row>
    <row r="92" spans="1:6" x14ac:dyDescent="0.35">
      <c r="C92" s="7" t="s">
        <v>3</v>
      </c>
      <c r="F92" s="22">
        <v>50000</v>
      </c>
    </row>
    <row r="93" spans="1:6" x14ac:dyDescent="0.35">
      <c r="C93" s="7" t="s">
        <v>4</v>
      </c>
      <c r="F93" s="22">
        <v>40000</v>
      </c>
    </row>
    <row r="94" spans="1:6" x14ac:dyDescent="0.35">
      <c r="C94" s="7" t="s">
        <v>5</v>
      </c>
      <c r="F94" s="22">
        <v>30000</v>
      </c>
    </row>
    <row r="95" spans="1:6" x14ac:dyDescent="0.35">
      <c r="F95" s="8"/>
    </row>
    <row r="96" spans="1:6" x14ac:dyDescent="0.35">
      <c r="B96" s="49" t="s">
        <v>28</v>
      </c>
      <c r="F96" s="24">
        <v>2027</v>
      </c>
    </row>
    <row r="97" spans="1:15" x14ac:dyDescent="0.35">
      <c r="C97" s="7" t="s">
        <v>3</v>
      </c>
      <c r="F97" s="22">
        <v>80000</v>
      </c>
    </row>
    <row r="98" spans="1:15" x14ac:dyDescent="0.35">
      <c r="C98" s="7" t="s">
        <v>4</v>
      </c>
      <c r="F98" s="22">
        <v>55000</v>
      </c>
    </row>
    <row r="99" spans="1:15" x14ac:dyDescent="0.35">
      <c r="C99" s="7" t="s">
        <v>5</v>
      </c>
      <c r="F99" s="22">
        <v>30000</v>
      </c>
    </row>
    <row r="100" spans="1:15" x14ac:dyDescent="0.35">
      <c r="F100"/>
    </row>
    <row r="101" spans="1:15" x14ac:dyDescent="0.35">
      <c r="B101" s="49" t="s">
        <v>29</v>
      </c>
      <c r="F101" s="24">
        <v>2027</v>
      </c>
    </row>
    <row r="102" spans="1:15" x14ac:dyDescent="0.35">
      <c r="C102" s="7" t="s">
        <v>3</v>
      </c>
      <c r="F102" s="23">
        <v>100000</v>
      </c>
    </row>
    <row r="103" spans="1:15" x14ac:dyDescent="0.35">
      <c r="C103" s="7" t="s">
        <v>4</v>
      </c>
      <c r="F103" s="23">
        <v>70000</v>
      </c>
    </row>
    <row r="104" spans="1:15" x14ac:dyDescent="0.35">
      <c r="C104" s="7" t="s">
        <v>5</v>
      </c>
      <c r="F104" s="23">
        <v>40000</v>
      </c>
    </row>
    <row r="105" spans="1:15" x14ac:dyDescent="0.35">
      <c r="F105"/>
    </row>
    <row r="106" spans="1:15" x14ac:dyDescent="0.35">
      <c r="A106" s="19"/>
      <c r="B106" s="19"/>
      <c r="C106" s="19"/>
      <c r="D106" s="19"/>
      <c r="E106" s="19"/>
      <c r="F106" s="19"/>
      <c r="G106" s="19"/>
      <c r="H106" s="19"/>
      <c r="I106" s="19"/>
      <c r="J106" s="19"/>
      <c r="K106" s="19"/>
      <c r="L106" s="19"/>
      <c r="M106" s="19"/>
      <c r="N106" s="19"/>
      <c r="O106" s="19"/>
    </row>
    <row r="107" spans="1:15" ht="21" x14ac:dyDescent="0.5">
      <c r="A107" s="29" t="s">
        <v>30</v>
      </c>
      <c r="F107"/>
    </row>
    <row r="108" spans="1:15" x14ac:dyDescent="0.35">
      <c r="A108" s="7"/>
      <c r="B108" s="21"/>
      <c r="C108" s="21"/>
      <c r="D108" s="21"/>
      <c r="E108" s="21"/>
      <c r="F108" s="21">
        <v>2027</v>
      </c>
      <c r="G108" s="7">
        <v>2028</v>
      </c>
      <c r="H108">
        <v>2029</v>
      </c>
    </row>
    <row r="109" spans="1:15" x14ac:dyDescent="0.35">
      <c r="A109" s="7"/>
      <c r="B109" s="53" t="s">
        <v>37</v>
      </c>
      <c r="C109" s="7"/>
      <c r="D109" s="7"/>
      <c r="E109" s="7"/>
      <c r="F109" s="22">
        <f>20000*12</f>
        <v>240000</v>
      </c>
      <c r="G109" s="22">
        <f t="shared" ref="G109:H111" si="31">20000*12</f>
        <v>240000</v>
      </c>
      <c r="H109" s="22">
        <f t="shared" si="31"/>
        <v>240000</v>
      </c>
      <c r="J109" s="53" t="s">
        <v>178</v>
      </c>
    </row>
    <row r="110" spans="1:15" x14ac:dyDescent="0.35">
      <c r="A110" s="7"/>
      <c r="B110" s="53" t="s">
        <v>31</v>
      </c>
      <c r="C110" s="7"/>
      <c r="D110" s="7"/>
      <c r="E110" s="7"/>
      <c r="F110" s="22">
        <f>20000*12</f>
        <v>240000</v>
      </c>
      <c r="G110" s="22">
        <f t="shared" si="31"/>
        <v>240000</v>
      </c>
      <c r="H110" s="22">
        <f t="shared" si="31"/>
        <v>240000</v>
      </c>
      <c r="J110" s="53" t="s">
        <v>180</v>
      </c>
    </row>
    <row r="111" spans="1:15" x14ac:dyDescent="0.35">
      <c r="A111" s="7"/>
      <c r="B111" s="53" t="s">
        <v>179</v>
      </c>
      <c r="C111" s="7"/>
      <c r="D111" s="7"/>
      <c r="E111" s="7"/>
      <c r="F111" s="22">
        <f>20000*12</f>
        <v>240000</v>
      </c>
      <c r="G111" s="22">
        <f t="shared" si="31"/>
        <v>240000</v>
      </c>
      <c r="H111" s="22">
        <f t="shared" si="31"/>
        <v>240000</v>
      </c>
      <c r="J111" s="53" t="s">
        <v>181</v>
      </c>
    </row>
    <row r="112" spans="1:15" x14ac:dyDescent="0.35">
      <c r="A112" s="7"/>
      <c r="B112" s="53" t="s">
        <v>32</v>
      </c>
      <c r="C112" s="7"/>
      <c r="D112" s="7"/>
      <c r="E112" s="7"/>
      <c r="F112" s="22">
        <f>10000*6</f>
        <v>60000</v>
      </c>
      <c r="G112" s="22">
        <v>0</v>
      </c>
      <c r="H112" s="22">
        <v>0</v>
      </c>
      <c r="J112" s="53" t="s">
        <v>182</v>
      </c>
    </row>
    <row r="113" spans="1:10" x14ac:dyDescent="0.35">
      <c r="A113" s="7"/>
      <c r="B113" s="53" t="s">
        <v>183</v>
      </c>
      <c r="C113" s="7"/>
      <c r="D113" s="7"/>
      <c r="E113" s="7"/>
      <c r="F113" s="22">
        <f>8000*6</f>
        <v>48000</v>
      </c>
      <c r="G113" s="22">
        <v>0</v>
      </c>
      <c r="H113" s="22">
        <v>0</v>
      </c>
      <c r="J113" s="53" t="s">
        <v>185</v>
      </c>
    </row>
    <row r="114" spans="1:10" x14ac:dyDescent="0.35">
      <c r="A114" s="7"/>
      <c r="B114" s="53" t="s">
        <v>184</v>
      </c>
      <c r="C114" s="7"/>
      <c r="D114" s="7"/>
      <c r="E114" s="7"/>
      <c r="F114" s="22">
        <f>5000*6</f>
        <v>30000</v>
      </c>
      <c r="G114" s="22">
        <v>0</v>
      </c>
      <c r="H114" s="22">
        <v>0</v>
      </c>
      <c r="J114" s="53" t="s">
        <v>186</v>
      </c>
    </row>
    <row r="115" spans="1:10" x14ac:dyDescent="0.35">
      <c r="A115" s="7"/>
      <c r="B115" s="53" t="s">
        <v>187</v>
      </c>
      <c r="C115" s="7"/>
      <c r="D115" s="7"/>
      <c r="E115" s="7"/>
      <c r="F115" s="22">
        <f>18000*12</f>
        <v>216000</v>
      </c>
      <c r="G115" s="22">
        <f t="shared" ref="G115:H115" si="32">18000*12</f>
        <v>216000</v>
      </c>
      <c r="H115" s="22">
        <f t="shared" si="32"/>
        <v>216000</v>
      </c>
      <c r="J115" s="53" t="s">
        <v>188</v>
      </c>
    </row>
    <row r="116" spans="1:10" x14ac:dyDescent="0.35">
      <c r="A116" s="7"/>
      <c r="B116" s="53" t="s">
        <v>35</v>
      </c>
      <c r="C116" s="7"/>
      <c r="D116" s="7"/>
      <c r="E116" s="7"/>
      <c r="F116" s="22">
        <f>7000*3</f>
        <v>21000</v>
      </c>
      <c r="G116" s="22">
        <f>7000*12</f>
        <v>84000</v>
      </c>
      <c r="H116" s="22">
        <f>7000*12</f>
        <v>84000</v>
      </c>
      <c r="J116" s="53" t="s">
        <v>189</v>
      </c>
    </row>
    <row r="117" spans="1:10" x14ac:dyDescent="0.35">
      <c r="A117" s="7"/>
      <c r="B117" s="53" t="s">
        <v>190</v>
      </c>
      <c r="C117" s="7"/>
      <c r="D117" s="7"/>
      <c r="E117" s="7"/>
      <c r="F117" s="22">
        <f>15000*4</f>
        <v>60000</v>
      </c>
      <c r="G117" s="22">
        <f>15000*12</f>
        <v>180000</v>
      </c>
      <c r="H117" s="22">
        <f>15000*12</f>
        <v>180000</v>
      </c>
      <c r="J117" s="53"/>
    </row>
    <row r="118" spans="1:10" x14ac:dyDescent="0.35">
      <c r="A118" s="7"/>
      <c r="B118" s="53" t="s">
        <v>34</v>
      </c>
      <c r="C118" s="51"/>
      <c r="D118" s="51"/>
      <c r="E118" s="51"/>
      <c r="F118" s="37">
        <f>10000*4</f>
        <v>40000</v>
      </c>
      <c r="G118" s="22">
        <f>10000*12</f>
        <v>120000</v>
      </c>
      <c r="H118" s="22">
        <f>10000*12</f>
        <v>120000</v>
      </c>
    </row>
    <row r="119" spans="1:10" x14ac:dyDescent="0.35">
      <c r="A119" s="7"/>
      <c r="B119" s="53" t="s">
        <v>191</v>
      </c>
      <c r="C119" s="51"/>
      <c r="D119" s="51"/>
      <c r="E119" s="51"/>
      <c r="F119" s="37">
        <v>0</v>
      </c>
      <c r="G119" s="37">
        <f>16000*12</f>
        <v>192000</v>
      </c>
      <c r="H119" s="37">
        <f>16000*12</f>
        <v>192000</v>
      </c>
    </row>
    <row r="120" spans="1:10" x14ac:dyDescent="0.35">
      <c r="A120" s="7"/>
      <c r="B120" s="53" t="s">
        <v>36</v>
      </c>
      <c r="C120" s="51"/>
      <c r="D120" s="51"/>
      <c r="E120" s="51"/>
      <c r="F120" s="37">
        <f>7000*12</f>
        <v>84000</v>
      </c>
      <c r="G120" s="37">
        <f t="shared" ref="G120:H120" si="33">7000*12</f>
        <v>84000</v>
      </c>
      <c r="H120" s="37">
        <f t="shared" si="33"/>
        <v>84000</v>
      </c>
    </row>
    <row r="121" spans="1:10" x14ac:dyDescent="0.35">
      <c r="A121" s="7"/>
      <c r="B121" s="53" t="s">
        <v>192</v>
      </c>
      <c r="C121" s="51"/>
      <c r="D121" s="51"/>
      <c r="E121" s="51"/>
      <c r="F121" s="37">
        <f>7000*6</f>
        <v>42000</v>
      </c>
      <c r="G121" s="37">
        <f>7000*12</f>
        <v>84000</v>
      </c>
      <c r="H121" s="37">
        <f>7000*12</f>
        <v>84000</v>
      </c>
    </row>
    <row r="122" spans="1:10" x14ac:dyDescent="0.35">
      <c r="A122" s="7"/>
      <c r="B122" s="53" t="s">
        <v>193</v>
      </c>
      <c r="C122" s="51"/>
      <c r="D122" s="51"/>
      <c r="E122" s="51"/>
      <c r="F122" s="37">
        <f>25000*12</f>
        <v>300000</v>
      </c>
      <c r="G122" s="37">
        <f t="shared" ref="G122:H122" si="34">25000*12</f>
        <v>300000</v>
      </c>
      <c r="H122" s="37">
        <f t="shared" si="34"/>
        <v>300000</v>
      </c>
    </row>
    <row r="123" spans="1:10" x14ac:dyDescent="0.35">
      <c r="A123" s="7"/>
      <c r="B123" s="53"/>
      <c r="C123" s="51"/>
      <c r="D123" s="51"/>
      <c r="E123" s="51"/>
      <c r="F123" s="37"/>
      <c r="G123" s="37"/>
      <c r="H123" s="37"/>
    </row>
    <row r="124" spans="1:10" x14ac:dyDescent="0.35">
      <c r="A124" s="7"/>
      <c r="B124" s="54"/>
      <c r="C124" s="51"/>
      <c r="D124" s="51"/>
      <c r="E124" s="51"/>
      <c r="F124" s="37"/>
      <c r="G124" s="7"/>
    </row>
    <row r="125" spans="1:10" x14ac:dyDescent="0.35">
      <c r="A125" s="7"/>
      <c r="B125" s="51">
        <v>2027</v>
      </c>
      <c r="C125" s="51">
        <v>2028</v>
      </c>
      <c r="D125" s="51">
        <v>2029</v>
      </c>
      <c r="E125" s="51"/>
      <c r="F125" s="37"/>
      <c r="G125" s="7"/>
    </row>
    <row r="126" spans="1:10" ht="21" x14ac:dyDescent="0.5">
      <c r="A126" s="52" t="s">
        <v>169</v>
      </c>
      <c r="B126" s="37" cm="1">
        <f t="array" ref="B126">INDEX(F32:F34,$B$6)</f>
        <v>1200</v>
      </c>
      <c r="C126" s="37" cm="1">
        <f t="array" ref="C126">INDEX(G32:G34,$B$6)</f>
        <v>2000</v>
      </c>
      <c r="D126" s="37" cm="1">
        <f t="array" ref="D126">INDEX(H32:H34,$B$6)</f>
        <v>4000</v>
      </c>
      <c r="E126" s="37" cm="1">
        <f t="array" ref="E126">INDEX(I32:I34,$B$6)</f>
        <v>0</v>
      </c>
      <c r="F126" s="37" cm="1">
        <f t="array" ref="F126">INDEX(J32:J34,$B$6)</f>
        <v>0</v>
      </c>
      <c r="G126" s="7"/>
    </row>
    <row r="127" spans="1:10" x14ac:dyDescent="0.35">
      <c r="F127"/>
    </row>
    <row r="128" spans="1:10" x14ac:dyDescent="0.35">
      <c r="A128" s="32" t="s">
        <v>165</v>
      </c>
      <c r="F128" s="36">
        <v>2027</v>
      </c>
      <c r="G128">
        <v>2028</v>
      </c>
      <c r="H128">
        <v>2029</v>
      </c>
    </row>
    <row r="129" spans="1:13" x14ac:dyDescent="0.35">
      <c r="F129" s="37"/>
    </row>
    <row r="130" spans="1:13" x14ac:dyDescent="0.35">
      <c r="B130" s="7" t="s">
        <v>51</v>
      </c>
      <c r="F130" s="37">
        <f>B126*0.5*5</f>
        <v>3000</v>
      </c>
      <c r="G130" s="37">
        <f t="shared" ref="G130:H130" si="35">C126*0.5*5</f>
        <v>5000</v>
      </c>
      <c r="H130" s="37">
        <f t="shared" si="35"/>
        <v>10000</v>
      </c>
    </row>
    <row r="131" spans="1:13" x14ac:dyDescent="0.35">
      <c r="B131" s="7"/>
      <c r="F131" s="37"/>
    </row>
    <row r="132" spans="1:13" x14ac:dyDescent="0.35">
      <c r="B132" s="7" t="s">
        <v>52</v>
      </c>
      <c r="F132" s="37">
        <f>CEILING((B126*10)/50000,1)*188</f>
        <v>188</v>
      </c>
      <c r="G132" s="37">
        <f t="shared" ref="G132:H132" si="36">CEILING((C126*10)/50000,1)*188</f>
        <v>188</v>
      </c>
      <c r="H132" s="37">
        <f t="shared" si="36"/>
        <v>188</v>
      </c>
    </row>
    <row r="133" spans="1:13" x14ac:dyDescent="0.35">
      <c r="B133" s="7"/>
      <c r="F133" s="37"/>
    </row>
    <row r="134" spans="1:13" x14ac:dyDescent="0.35">
      <c r="B134" s="7" t="s">
        <v>124</v>
      </c>
      <c r="F134" s="37">
        <f>B126*4</f>
        <v>4800</v>
      </c>
      <c r="G134" s="37">
        <f t="shared" ref="G134:H134" si="37">C126*4</f>
        <v>8000</v>
      </c>
      <c r="H134" s="37">
        <f t="shared" si="37"/>
        <v>16000</v>
      </c>
    </row>
    <row r="135" spans="1:13" x14ac:dyDescent="0.35">
      <c r="B135" s="7"/>
      <c r="F135" s="37"/>
    </row>
    <row r="136" spans="1:13" x14ac:dyDescent="0.35">
      <c r="B136" s="7" t="s">
        <v>127</v>
      </c>
      <c r="F136" s="37">
        <f>B126*3</f>
        <v>3600</v>
      </c>
      <c r="G136" s="37">
        <f t="shared" ref="G136:H136" si="38">C126*3</f>
        <v>6000</v>
      </c>
      <c r="H136" s="37">
        <f t="shared" si="38"/>
        <v>12000</v>
      </c>
    </row>
    <row r="137" spans="1:13" x14ac:dyDescent="0.35">
      <c r="B137" s="7"/>
      <c r="F137" s="37"/>
    </row>
    <row r="138" spans="1:13" x14ac:dyDescent="0.35">
      <c r="B138" s="7" t="s">
        <v>129</v>
      </c>
      <c r="F138" s="37">
        <f>200*12</f>
        <v>2400</v>
      </c>
      <c r="G138" s="37">
        <f>300*12</f>
        <v>3600</v>
      </c>
      <c r="H138" s="37">
        <f>500*12</f>
        <v>6000</v>
      </c>
    </row>
    <row r="139" spans="1:13" x14ac:dyDescent="0.35">
      <c r="B139" s="7"/>
      <c r="F139" s="37"/>
    </row>
    <row r="140" spans="1:13" x14ac:dyDescent="0.35">
      <c r="B140" s="11" t="s">
        <v>170</v>
      </c>
      <c r="F140" s="37">
        <f>0.5*B126</f>
        <v>600</v>
      </c>
      <c r="G140" s="37">
        <f>0.5*C126</f>
        <v>1000</v>
      </c>
      <c r="H140" s="37">
        <f>0.5*D126</f>
        <v>2000</v>
      </c>
      <c r="M140" t="s">
        <v>171</v>
      </c>
    </row>
    <row r="141" spans="1:13" x14ac:dyDescent="0.35">
      <c r="B141" s="7"/>
      <c r="F141" s="37"/>
    </row>
    <row r="142" spans="1:13" x14ac:dyDescent="0.35">
      <c r="B142" s="7" t="s">
        <v>131</v>
      </c>
      <c r="F142" s="37">
        <f>200*12</f>
        <v>2400</v>
      </c>
      <c r="G142" s="37">
        <f>300*12</f>
        <v>3600</v>
      </c>
      <c r="H142" s="37">
        <f>500*12</f>
        <v>6000</v>
      </c>
    </row>
    <row r="143" spans="1:13" x14ac:dyDescent="0.35">
      <c r="A143" s="32" t="s">
        <v>160</v>
      </c>
      <c r="F143" s="37"/>
    </row>
    <row r="144" spans="1:13" x14ac:dyDescent="0.35">
      <c r="B144" s="7" t="s">
        <v>135</v>
      </c>
      <c r="F144" s="37">
        <f>5000*12</f>
        <v>60000</v>
      </c>
      <c r="G144" s="37">
        <f t="shared" ref="G144:H144" si="39">5000*12</f>
        <v>60000</v>
      </c>
      <c r="H144" s="37">
        <f t="shared" si="39"/>
        <v>60000</v>
      </c>
    </row>
    <row r="145" spans="2:11" x14ac:dyDescent="0.35">
      <c r="B145" s="7" t="s">
        <v>136</v>
      </c>
      <c r="F145" s="37">
        <f>300*12</f>
        <v>3600</v>
      </c>
      <c r="G145" s="37">
        <f t="shared" ref="G145:H145" si="40">300*12</f>
        <v>3600</v>
      </c>
      <c r="H145" s="37">
        <f t="shared" si="40"/>
        <v>3600</v>
      </c>
    </row>
    <row r="146" spans="2:11" x14ac:dyDescent="0.35">
      <c r="B146" s="7" t="s">
        <v>137</v>
      </c>
      <c r="F146" s="37">
        <f>500*12</f>
        <v>6000</v>
      </c>
      <c r="G146" s="37">
        <f t="shared" ref="G146:H146" si="41">500*12</f>
        <v>6000</v>
      </c>
      <c r="H146" s="37">
        <f t="shared" si="41"/>
        <v>6000</v>
      </c>
    </row>
    <row r="147" spans="2:11" x14ac:dyDescent="0.35">
      <c r="B147" s="7" t="s">
        <v>138</v>
      </c>
      <c r="F147" s="37">
        <v>50000</v>
      </c>
      <c r="G147" s="37">
        <v>2500</v>
      </c>
      <c r="H147" s="37">
        <v>2500</v>
      </c>
    </row>
    <row r="148" spans="2:11" x14ac:dyDescent="0.35">
      <c r="B148" s="7" t="s">
        <v>139</v>
      </c>
      <c r="F148" s="37">
        <f>COUNT(F109:F122)*3000</f>
        <v>42000</v>
      </c>
      <c r="G148" s="37">
        <v>1000</v>
      </c>
      <c r="H148" s="37">
        <v>5000</v>
      </c>
    </row>
    <row r="149" spans="2:11" x14ac:dyDescent="0.35">
      <c r="B149" s="7" t="s">
        <v>140</v>
      </c>
      <c r="F149" s="37">
        <f>150*12</f>
        <v>1800</v>
      </c>
      <c r="G149" s="37">
        <f t="shared" ref="G149:H149" si="42">150*12</f>
        <v>1800</v>
      </c>
      <c r="H149" s="37">
        <f t="shared" si="42"/>
        <v>1800</v>
      </c>
    </row>
    <row r="150" spans="2:11" ht="29" customHeight="1" x14ac:dyDescent="0.35">
      <c r="B150" s="7" t="s">
        <v>141</v>
      </c>
      <c r="F150" s="37">
        <f>400*12</f>
        <v>4800</v>
      </c>
      <c r="G150" s="37">
        <f t="shared" ref="G150:H150" si="43">400*12</f>
        <v>4800</v>
      </c>
      <c r="H150" s="37">
        <f t="shared" si="43"/>
        <v>4800</v>
      </c>
      <c r="K150" s="40" t="s">
        <v>142</v>
      </c>
    </row>
    <row r="151" spans="2:11" x14ac:dyDescent="0.35">
      <c r="B151" s="7" t="s">
        <v>143</v>
      </c>
      <c r="F151" s="37">
        <f>2000*12</f>
        <v>24000</v>
      </c>
      <c r="G151" s="37">
        <f t="shared" ref="G151:H151" si="44">2000*12</f>
        <v>24000</v>
      </c>
      <c r="H151" s="37">
        <f t="shared" si="44"/>
        <v>24000</v>
      </c>
      <c r="K151" t="s">
        <v>145</v>
      </c>
    </row>
    <row r="152" spans="2:11" x14ac:dyDescent="0.35">
      <c r="B152" s="7" t="s">
        <v>144</v>
      </c>
      <c r="F152" s="37">
        <v>36000</v>
      </c>
      <c r="G152" s="37">
        <v>48000</v>
      </c>
      <c r="H152" s="37">
        <v>72000</v>
      </c>
    </row>
    <row r="153" spans="2:11" x14ac:dyDescent="0.35">
      <c r="B153" s="7" t="s">
        <v>146</v>
      </c>
      <c r="F153" s="37">
        <v>3000</v>
      </c>
      <c r="G153" s="37">
        <v>3000</v>
      </c>
      <c r="H153" s="37">
        <v>3000</v>
      </c>
    </row>
    <row r="154" spans="2:11" x14ac:dyDescent="0.35">
      <c r="B154" s="7" t="s">
        <v>147</v>
      </c>
      <c r="F154" s="37">
        <v>10000</v>
      </c>
      <c r="G154" s="37">
        <v>10000</v>
      </c>
      <c r="H154" s="37">
        <v>10000</v>
      </c>
    </row>
    <row r="155" spans="2:11" x14ac:dyDescent="0.35">
      <c r="B155" s="11" t="s">
        <v>65</v>
      </c>
      <c r="F155" s="37">
        <v>8000</v>
      </c>
      <c r="G155" s="37">
        <v>8000</v>
      </c>
      <c r="H155" s="37">
        <v>8000</v>
      </c>
      <c r="K155" s="53" t="s">
        <v>173</v>
      </c>
    </row>
    <row r="156" spans="2:11" x14ac:dyDescent="0.35">
      <c r="B156" s="11" t="s">
        <v>66</v>
      </c>
      <c r="F156" s="37">
        <v>6000</v>
      </c>
      <c r="G156" s="37">
        <v>6000</v>
      </c>
      <c r="H156" s="37">
        <v>6900</v>
      </c>
      <c r="K156" s="53" t="s">
        <v>174</v>
      </c>
    </row>
    <row r="157" spans="2:11" x14ac:dyDescent="0.35">
      <c r="B157" s="7" t="s">
        <v>148</v>
      </c>
      <c r="F157" s="37">
        <f>5000*12</f>
        <v>60000</v>
      </c>
      <c r="G157" s="37">
        <f t="shared" ref="G157:H157" si="45">5000*12</f>
        <v>60000</v>
      </c>
      <c r="H157" s="37">
        <f t="shared" si="45"/>
        <v>60000</v>
      </c>
    </row>
    <row r="158" spans="2:11" x14ac:dyDescent="0.35">
      <c r="B158" s="7" t="s">
        <v>151</v>
      </c>
      <c r="F158" s="37">
        <v>250000</v>
      </c>
      <c r="G158" s="23">
        <v>0</v>
      </c>
      <c r="H158" s="23">
        <v>0</v>
      </c>
    </row>
    <row r="159" spans="2:11" x14ac:dyDescent="0.35">
      <c r="B159" s="11" t="s">
        <v>176</v>
      </c>
      <c r="F159" s="37">
        <v>25000</v>
      </c>
      <c r="G159" s="23"/>
      <c r="H159" s="23"/>
    </row>
    <row r="160" spans="2:11" x14ac:dyDescent="0.35">
      <c r="B160" s="7" t="s">
        <v>149</v>
      </c>
      <c r="F160" s="37">
        <f>5000*12</f>
        <v>60000</v>
      </c>
      <c r="G160" s="37">
        <f t="shared" ref="G160:H160" si="46">5000*12</f>
        <v>60000</v>
      </c>
      <c r="H160" s="37">
        <f t="shared" si="46"/>
        <v>60000</v>
      </c>
    </row>
    <row r="161" spans="1:8" x14ac:dyDescent="0.35">
      <c r="B161" s="7" t="s">
        <v>150</v>
      </c>
      <c r="F161" s="37">
        <f>2000*12</f>
        <v>24000</v>
      </c>
      <c r="G161" s="37">
        <f t="shared" ref="G161:H161" si="47">2000*12</f>
        <v>24000</v>
      </c>
      <c r="H161" s="37">
        <f t="shared" si="47"/>
        <v>24000</v>
      </c>
    </row>
    <row r="162" spans="1:8" x14ac:dyDescent="0.35">
      <c r="B162" s="11" t="s">
        <v>175</v>
      </c>
      <c r="F162" s="37">
        <v>30000</v>
      </c>
      <c r="G162" s="37">
        <v>20000</v>
      </c>
      <c r="H162" s="37">
        <v>15000</v>
      </c>
    </row>
    <row r="163" spans="1:8" x14ac:dyDescent="0.35">
      <c r="B163" s="11" t="s">
        <v>177</v>
      </c>
      <c r="F163" s="37">
        <v>4000</v>
      </c>
      <c r="G163" s="37">
        <v>4000</v>
      </c>
      <c r="H163" s="37">
        <v>4000</v>
      </c>
    </row>
    <row r="164" spans="1:8" x14ac:dyDescent="0.35">
      <c r="F164" s="37">
        <f>SUM(F144:F163)</f>
        <v>708200</v>
      </c>
      <c r="G164" s="37">
        <f t="shared" ref="G164:H164" si="48">SUM(G144:G162)</f>
        <v>342700</v>
      </c>
      <c r="H164" s="37">
        <f t="shared" si="48"/>
        <v>366600</v>
      </c>
    </row>
    <row r="165" spans="1:8" x14ac:dyDescent="0.35">
      <c r="F165" s="37"/>
    </row>
    <row r="166" spans="1:8" ht="21" x14ac:dyDescent="0.5">
      <c r="A166" s="29" t="s">
        <v>155</v>
      </c>
      <c r="F166" s="37"/>
    </row>
    <row r="167" spans="1:8" x14ac:dyDescent="0.35">
      <c r="B167" s="7" t="s">
        <v>156</v>
      </c>
      <c r="F167" s="37">
        <f>$F$147/3</f>
        <v>16666.666666666668</v>
      </c>
      <c r="G167" s="37">
        <f t="shared" ref="G167:H167" si="49">$F$147/3</f>
        <v>16666.666666666668</v>
      </c>
      <c r="H167" s="37">
        <f t="shared" si="49"/>
        <v>16666.666666666668</v>
      </c>
    </row>
    <row r="168" spans="1:8" x14ac:dyDescent="0.35">
      <c r="B168" s="7" t="s">
        <v>157</v>
      </c>
      <c r="F168" s="37">
        <f>$F$148/3</f>
        <v>14000</v>
      </c>
      <c r="G168" s="37">
        <f t="shared" ref="G168:H168" si="50">$F$148/3</f>
        <v>14000</v>
      </c>
      <c r="H168" s="37">
        <f t="shared" si="50"/>
        <v>14000</v>
      </c>
    </row>
    <row r="169" spans="1:8" ht="21" x14ac:dyDescent="0.5">
      <c r="A169" s="29" t="s">
        <v>158</v>
      </c>
      <c r="F169" s="33">
        <f>SUM(F167:F168)</f>
        <v>30666.666666666668</v>
      </c>
      <c r="G169" s="33">
        <f t="shared" ref="G169:H169" si="51">SUM(G167:G168)</f>
        <v>30666.666666666668</v>
      </c>
      <c r="H169" s="33">
        <f t="shared" si="51"/>
        <v>30666.666666666668</v>
      </c>
    </row>
    <row r="170" spans="1:8" x14ac:dyDescent="0.35">
      <c r="F170" s="37"/>
    </row>
    <row r="171" spans="1:8" x14ac:dyDescent="0.35">
      <c r="F171" s="37"/>
    </row>
    <row r="172" spans="1:8" x14ac:dyDescent="0.35">
      <c r="F172" s="37"/>
    </row>
    <row r="173" spans="1:8" x14ac:dyDescent="0.35">
      <c r="F173" s="37"/>
    </row>
    <row r="174" spans="1:8" x14ac:dyDescent="0.35">
      <c r="F174" s="37"/>
    </row>
    <row r="175" spans="1:8" x14ac:dyDescent="0.35">
      <c r="F175" s="37"/>
    </row>
    <row r="176" spans="1:8" x14ac:dyDescent="0.35">
      <c r="F176" s="37"/>
    </row>
    <row r="177" spans="6:6" x14ac:dyDescent="0.35">
      <c r="F177" s="37"/>
    </row>
    <row r="178" spans="6:6" x14ac:dyDescent="0.35">
      <c r="F178" s="37"/>
    </row>
    <row r="179" spans="6:6" x14ac:dyDescent="0.35">
      <c r="F179" s="37"/>
    </row>
    <row r="180" spans="6:6" x14ac:dyDescent="0.35">
      <c r="F180" s="37"/>
    </row>
    <row r="181" spans="6:6" x14ac:dyDescent="0.35">
      <c r="F181" s="37"/>
    </row>
    <row r="182" spans="6:6" x14ac:dyDescent="0.35">
      <c r="F182" s="37"/>
    </row>
    <row r="183" spans="6:6" x14ac:dyDescent="0.35">
      <c r="F183" s="37"/>
    </row>
    <row r="184" spans="6:6" x14ac:dyDescent="0.35">
      <c r="F184" s="37"/>
    </row>
    <row r="185" spans="6:6" x14ac:dyDescent="0.35">
      <c r="F185" s="37"/>
    </row>
    <row r="186" spans="6:6" x14ac:dyDescent="0.35">
      <c r="F186" s="37"/>
    </row>
    <row r="187" spans="6:6" x14ac:dyDescent="0.35">
      <c r="F187" s="37"/>
    </row>
    <row r="188" spans="6:6" x14ac:dyDescent="0.35">
      <c r="F188" s="37"/>
    </row>
    <row r="189" spans="6:6" x14ac:dyDescent="0.35">
      <c r="F189" s="37"/>
    </row>
    <row r="190" spans="6:6" x14ac:dyDescent="0.35">
      <c r="F190" s="37"/>
    </row>
    <row r="191" spans="6:6" x14ac:dyDescent="0.35">
      <c r="F191" s="37"/>
    </row>
    <row r="192" spans="6:6" x14ac:dyDescent="0.35">
      <c r="F192" s="37"/>
    </row>
    <row r="193" spans="6:6" x14ac:dyDescent="0.35">
      <c r="F193" s="37"/>
    </row>
    <row r="194" spans="6:6" x14ac:dyDescent="0.35">
      <c r="F194" s="37"/>
    </row>
    <row r="195" spans="6:6" x14ac:dyDescent="0.35">
      <c r="F195" s="37"/>
    </row>
    <row r="196" spans="6:6" x14ac:dyDescent="0.35">
      <c r="F196" s="37"/>
    </row>
    <row r="197" spans="6:6" x14ac:dyDescent="0.35">
      <c r="F197" s="37"/>
    </row>
    <row r="198" spans="6:6" x14ac:dyDescent="0.35">
      <c r="F198" s="37"/>
    </row>
    <row r="199" spans="6:6" x14ac:dyDescent="0.35">
      <c r="F199" s="37"/>
    </row>
    <row r="200" spans="6:6" x14ac:dyDescent="0.35">
      <c r="F200" s="37"/>
    </row>
    <row r="201" spans="6:6" x14ac:dyDescent="0.35">
      <c r="F201" s="37"/>
    </row>
    <row r="202" spans="6:6" x14ac:dyDescent="0.35">
      <c r="F202" s="37"/>
    </row>
    <row r="203" spans="6:6" x14ac:dyDescent="0.35">
      <c r="F203" s="37"/>
    </row>
    <row r="204" spans="6:6" x14ac:dyDescent="0.35">
      <c r="F204" s="37"/>
    </row>
    <row r="205" spans="6:6" x14ac:dyDescent="0.35">
      <c r="F205" s="37"/>
    </row>
    <row r="206" spans="6:6" x14ac:dyDescent="0.35">
      <c r="F206" s="37"/>
    </row>
    <row r="207" spans="6:6" x14ac:dyDescent="0.35">
      <c r="F207" s="37"/>
    </row>
    <row r="208" spans="6:6" x14ac:dyDescent="0.35">
      <c r="F208" s="37"/>
    </row>
    <row r="209" spans="6:6" x14ac:dyDescent="0.35">
      <c r="F209" s="37"/>
    </row>
    <row r="210" spans="6:6" x14ac:dyDescent="0.35">
      <c r="F210" s="37"/>
    </row>
    <row r="211" spans="6:6" x14ac:dyDescent="0.35">
      <c r="F211" s="37"/>
    </row>
    <row r="212" spans="6:6" x14ac:dyDescent="0.35">
      <c r="F212" s="37"/>
    </row>
    <row r="213" spans="6:6" x14ac:dyDescent="0.35">
      <c r="F213" s="37"/>
    </row>
    <row r="214" spans="6:6" x14ac:dyDescent="0.35">
      <c r="F214" s="37"/>
    </row>
    <row r="215" spans="6:6" x14ac:dyDescent="0.35">
      <c r="F215" s="37"/>
    </row>
    <row r="216" spans="6:6" x14ac:dyDescent="0.35">
      <c r="F216" s="37"/>
    </row>
    <row r="217" spans="6:6" x14ac:dyDescent="0.35">
      <c r="F217" s="37"/>
    </row>
    <row r="218" spans="6:6" x14ac:dyDescent="0.35">
      <c r="F218" s="37"/>
    </row>
    <row r="219" spans="6:6" x14ac:dyDescent="0.35">
      <c r="F219" s="37"/>
    </row>
    <row r="220" spans="6:6" x14ac:dyDescent="0.35">
      <c r="F220" s="37"/>
    </row>
    <row r="221" spans="6:6" x14ac:dyDescent="0.35">
      <c r="F221" s="37"/>
    </row>
    <row r="222" spans="6:6" x14ac:dyDescent="0.35">
      <c r="F222" s="37"/>
    </row>
    <row r="223" spans="6:6" x14ac:dyDescent="0.35">
      <c r="F223" s="37"/>
    </row>
    <row r="224" spans="6:6" x14ac:dyDescent="0.35">
      <c r="F224" s="37"/>
    </row>
    <row r="225" spans="6:6" x14ac:dyDescent="0.35">
      <c r="F225" s="37"/>
    </row>
    <row r="226" spans="6:6" x14ac:dyDescent="0.35">
      <c r="F226" s="37"/>
    </row>
    <row r="227" spans="6:6" x14ac:dyDescent="0.35">
      <c r="F227" s="37"/>
    </row>
    <row r="228" spans="6:6" x14ac:dyDescent="0.35">
      <c r="F228" s="37"/>
    </row>
    <row r="229" spans="6:6" x14ac:dyDescent="0.35">
      <c r="F229" s="37"/>
    </row>
    <row r="230" spans="6:6" x14ac:dyDescent="0.35">
      <c r="F230" s="37"/>
    </row>
    <row r="231" spans="6:6" x14ac:dyDescent="0.35">
      <c r="F231" s="37"/>
    </row>
    <row r="232" spans="6:6" x14ac:dyDescent="0.35">
      <c r="F232" s="37"/>
    </row>
    <row r="233" spans="6:6" x14ac:dyDescent="0.35">
      <c r="F233" s="37"/>
    </row>
    <row r="234" spans="6:6" x14ac:dyDescent="0.35">
      <c r="F234" s="37"/>
    </row>
    <row r="235" spans="6:6" x14ac:dyDescent="0.35">
      <c r="F235" s="37"/>
    </row>
    <row r="236" spans="6:6" x14ac:dyDescent="0.35">
      <c r="F236" s="37"/>
    </row>
    <row r="237" spans="6:6" x14ac:dyDescent="0.35">
      <c r="F237" s="37"/>
    </row>
    <row r="238" spans="6:6" x14ac:dyDescent="0.35">
      <c r="F238" s="37"/>
    </row>
    <row r="239" spans="6:6" x14ac:dyDescent="0.35">
      <c r="F239" s="37"/>
    </row>
    <row r="240" spans="6:6" x14ac:dyDescent="0.35">
      <c r="F240" s="37"/>
    </row>
    <row r="241" spans="6:6" x14ac:dyDescent="0.35">
      <c r="F241" s="37"/>
    </row>
    <row r="242" spans="6:6" x14ac:dyDescent="0.35">
      <c r="F242" s="37"/>
    </row>
    <row r="243" spans="6:6" x14ac:dyDescent="0.35">
      <c r="F243" s="37"/>
    </row>
    <row r="244" spans="6:6" x14ac:dyDescent="0.35">
      <c r="F244" s="37"/>
    </row>
    <row r="245" spans="6:6" x14ac:dyDescent="0.35">
      <c r="F245" s="37"/>
    </row>
    <row r="246" spans="6:6" x14ac:dyDescent="0.35">
      <c r="F246" s="37"/>
    </row>
    <row r="247" spans="6:6" x14ac:dyDescent="0.35">
      <c r="F247" s="37"/>
    </row>
    <row r="248" spans="6:6" x14ac:dyDescent="0.35">
      <c r="F248" s="37"/>
    </row>
    <row r="249" spans="6:6" x14ac:dyDescent="0.35">
      <c r="F249" s="37"/>
    </row>
    <row r="250" spans="6:6" x14ac:dyDescent="0.35">
      <c r="F250" s="37"/>
    </row>
    <row r="251" spans="6:6" x14ac:dyDescent="0.35">
      <c r="F251" s="37"/>
    </row>
    <row r="252" spans="6:6" x14ac:dyDescent="0.35">
      <c r="F252" s="37"/>
    </row>
    <row r="253" spans="6:6" x14ac:dyDescent="0.35">
      <c r="F253" s="37"/>
    </row>
    <row r="254" spans="6:6" x14ac:dyDescent="0.35">
      <c r="F254" s="37"/>
    </row>
    <row r="255" spans="6:6" x14ac:dyDescent="0.35">
      <c r="F255" s="37"/>
    </row>
    <row r="256" spans="6:6" x14ac:dyDescent="0.35">
      <c r="F256" s="37"/>
    </row>
    <row r="257" spans="6:6" x14ac:dyDescent="0.35">
      <c r="F257" s="37"/>
    </row>
    <row r="258" spans="6:6" x14ac:dyDescent="0.35">
      <c r="F258" s="37"/>
    </row>
    <row r="259" spans="6:6" x14ac:dyDescent="0.35">
      <c r="F259" s="37"/>
    </row>
    <row r="260" spans="6:6" x14ac:dyDescent="0.35">
      <c r="F260" s="37"/>
    </row>
    <row r="261" spans="6:6" x14ac:dyDescent="0.35">
      <c r="F261" s="37"/>
    </row>
    <row r="262" spans="6:6" x14ac:dyDescent="0.35">
      <c r="F262" s="37"/>
    </row>
    <row r="263" spans="6:6" x14ac:dyDescent="0.35">
      <c r="F263" s="37"/>
    </row>
    <row r="264" spans="6:6" x14ac:dyDescent="0.35">
      <c r="F264" s="37"/>
    </row>
    <row r="265" spans="6:6" x14ac:dyDescent="0.35">
      <c r="F265" s="37"/>
    </row>
    <row r="266" spans="6:6" x14ac:dyDescent="0.35">
      <c r="F266" s="37"/>
    </row>
    <row r="267" spans="6:6" x14ac:dyDescent="0.35">
      <c r="F267" s="37"/>
    </row>
    <row r="268" spans="6:6" x14ac:dyDescent="0.35">
      <c r="F268" s="37"/>
    </row>
    <row r="269" spans="6:6" x14ac:dyDescent="0.35">
      <c r="F269" s="37"/>
    </row>
    <row r="270" spans="6:6" x14ac:dyDescent="0.35">
      <c r="F270" s="37"/>
    </row>
    <row r="271" spans="6:6" x14ac:dyDescent="0.35">
      <c r="F271" s="37"/>
    </row>
    <row r="272" spans="6:6" x14ac:dyDescent="0.35">
      <c r="F272" s="37"/>
    </row>
    <row r="273" spans="6:6" x14ac:dyDescent="0.35">
      <c r="F273" s="37"/>
    </row>
    <row r="274" spans="6:6" x14ac:dyDescent="0.35">
      <c r="F274" s="37"/>
    </row>
    <row r="275" spans="6:6" x14ac:dyDescent="0.35">
      <c r="F275" s="37"/>
    </row>
    <row r="276" spans="6:6" x14ac:dyDescent="0.35">
      <c r="F276" s="37"/>
    </row>
    <row r="277" spans="6:6" x14ac:dyDescent="0.35">
      <c r="F277" s="37"/>
    </row>
    <row r="278" spans="6:6" x14ac:dyDescent="0.35">
      <c r="F278" s="37"/>
    </row>
    <row r="279" spans="6:6" x14ac:dyDescent="0.35">
      <c r="F279" s="37"/>
    </row>
    <row r="280" spans="6:6" x14ac:dyDescent="0.35">
      <c r="F280" s="37"/>
    </row>
    <row r="281" spans="6:6" x14ac:dyDescent="0.35">
      <c r="F281" s="37"/>
    </row>
    <row r="282" spans="6:6" x14ac:dyDescent="0.35">
      <c r="F282" s="37"/>
    </row>
    <row r="283" spans="6:6" x14ac:dyDescent="0.35">
      <c r="F283" s="37"/>
    </row>
    <row r="284" spans="6:6" x14ac:dyDescent="0.35">
      <c r="F284" s="37"/>
    </row>
    <row r="285" spans="6:6" x14ac:dyDescent="0.35">
      <c r="F285" s="37"/>
    </row>
    <row r="286" spans="6:6" x14ac:dyDescent="0.35">
      <c r="F286" s="37"/>
    </row>
    <row r="287" spans="6:6" x14ac:dyDescent="0.35">
      <c r="F287" s="37"/>
    </row>
    <row r="288" spans="6:6" x14ac:dyDescent="0.35">
      <c r="F288" s="37"/>
    </row>
    <row r="289" spans="6:6" x14ac:dyDescent="0.35">
      <c r="F289" s="37"/>
    </row>
    <row r="290" spans="6:6" x14ac:dyDescent="0.35">
      <c r="F290" s="37"/>
    </row>
    <row r="291" spans="6:6" x14ac:dyDescent="0.35">
      <c r="F291" s="37"/>
    </row>
    <row r="292" spans="6:6" x14ac:dyDescent="0.35">
      <c r="F292" s="37"/>
    </row>
    <row r="293" spans="6:6" x14ac:dyDescent="0.35">
      <c r="F293" s="37"/>
    </row>
    <row r="294" spans="6:6" x14ac:dyDescent="0.35">
      <c r="F294" s="37"/>
    </row>
    <row r="295" spans="6:6" x14ac:dyDescent="0.35">
      <c r="F295" s="37"/>
    </row>
    <row r="296" spans="6:6" x14ac:dyDescent="0.35">
      <c r="F296" s="37"/>
    </row>
    <row r="297" spans="6:6" x14ac:dyDescent="0.35">
      <c r="F297" s="37"/>
    </row>
    <row r="298" spans="6:6" x14ac:dyDescent="0.35">
      <c r="F298" s="37"/>
    </row>
    <row r="299" spans="6:6" x14ac:dyDescent="0.35">
      <c r="F299" s="37"/>
    </row>
    <row r="300" spans="6:6" x14ac:dyDescent="0.35">
      <c r="F300" s="37"/>
    </row>
    <row r="301" spans="6:6" x14ac:dyDescent="0.35">
      <c r="F301" s="37"/>
    </row>
    <row r="302" spans="6:6" x14ac:dyDescent="0.35">
      <c r="F302" s="37"/>
    </row>
    <row r="303" spans="6:6" x14ac:dyDescent="0.35">
      <c r="F303" s="37"/>
    </row>
    <row r="304" spans="6:6" x14ac:dyDescent="0.35">
      <c r="F304" s="37"/>
    </row>
    <row r="305" spans="6:6" x14ac:dyDescent="0.35">
      <c r="F305" s="37"/>
    </row>
    <row r="306" spans="6:6" x14ac:dyDescent="0.35">
      <c r="F306" s="37"/>
    </row>
    <row r="307" spans="6:6" x14ac:dyDescent="0.35">
      <c r="F307" s="37"/>
    </row>
    <row r="308" spans="6:6" x14ac:dyDescent="0.35">
      <c r="F308" s="37"/>
    </row>
    <row r="309" spans="6:6" x14ac:dyDescent="0.35">
      <c r="F309" s="37"/>
    </row>
    <row r="310" spans="6:6" x14ac:dyDescent="0.35">
      <c r="F310" s="37"/>
    </row>
    <row r="311" spans="6:6" x14ac:dyDescent="0.35">
      <c r="F311" s="37"/>
    </row>
    <row r="312" spans="6:6" x14ac:dyDescent="0.35">
      <c r="F312" s="37"/>
    </row>
    <row r="313" spans="6:6" x14ac:dyDescent="0.35">
      <c r="F313" s="37"/>
    </row>
    <row r="314" spans="6:6" x14ac:dyDescent="0.35">
      <c r="F314" s="37"/>
    </row>
    <row r="315" spans="6:6" x14ac:dyDescent="0.35">
      <c r="F315" s="37"/>
    </row>
    <row r="316" spans="6:6" x14ac:dyDescent="0.35">
      <c r="F316" s="37"/>
    </row>
    <row r="317" spans="6:6" x14ac:dyDescent="0.35">
      <c r="F317" s="37"/>
    </row>
    <row r="318" spans="6:6" x14ac:dyDescent="0.35">
      <c r="F318" s="37"/>
    </row>
    <row r="319" spans="6:6" x14ac:dyDescent="0.35">
      <c r="F319" s="37"/>
    </row>
    <row r="320" spans="6:6" x14ac:dyDescent="0.35">
      <c r="F320" s="37"/>
    </row>
    <row r="321" spans="6:6" x14ac:dyDescent="0.35">
      <c r="F321" s="37"/>
    </row>
    <row r="322" spans="6:6" x14ac:dyDescent="0.35">
      <c r="F322" s="37"/>
    </row>
    <row r="323" spans="6:6" x14ac:dyDescent="0.35">
      <c r="F323" s="37"/>
    </row>
    <row r="324" spans="6:6" x14ac:dyDescent="0.35">
      <c r="F324" s="37"/>
    </row>
    <row r="325" spans="6:6" x14ac:dyDescent="0.35">
      <c r="F325" s="37"/>
    </row>
    <row r="326" spans="6:6" x14ac:dyDescent="0.35">
      <c r="F326" s="37"/>
    </row>
    <row r="327" spans="6:6" x14ac:dyDescent="0.35">
      <c r="F327" s="37"/>
    </row>
    <row r="328" spans="6:6" x14ac:dyDescent="0.35">
      <c r="F328" s="37"/>
    </row>
    <row r="329" spans="6:6" x14ac:dyDescent="0.35">
      <c r="F329" s="37"/>
    </row>
    <row r="330" spans="6:6" x14ac:dyDescent="0.35">
      <c r="F330" s="37"/>
    </row>
    <row r="331" spans="6:6" x14ac:dyDescent="0.35">
      <c r="F331" s="37"/>
    </row>
    <row r="332" spans="6:6" x14ac:dyDescent="0.35">
      <c r="F332" s="37"/>
    </row>
    <row r="333" spans="6:6" x14ac:dyDescent="0.35">
      <c r="F333" s="37"/>
    </row>
    <row r="334" spans="6:6" x14ac:dyDescent="0.35">
      <c r="F334" s="37"/>
    </row>
    <row r="335" spans="6:6" x14ac:dyDescent="0.35">
      <c r="F335" s="37"/>
    </row>
    <row r="336" spans="6:6" x14ac:dyDescent="0.35">
      <c r="F336" s="37"/>
    </row>
    <row r="337" spans="6:6" x14ac:dyDescent="0.35">
      <c r="F337" s="37"/>
    </row>
    <row r="338" spans="6:6" x14ac:dyDescent="0.35">
      <c r="F338" s="37"/>
    </row>
    <row r="339" spans="6:6" x14ac:dyDescent="0.35">
      <c r="F339" s="37"/>
    </row>
    <row r="340" spans="6:6" x14ac:dyDescent="0.35">
      <c r="F340" s="37"/>
    </row>
    <row r="341" spans="6:6" x14ac:dyDescent="0.35">
      <c r="F341" s="37"/>
    </row>
    <row r="342" spans="6:6" x14ac:dyDescent="0.35">
      <c r="F342" s="37"/>
    </row>
    <row r="343" spans="6:6" x14ac:dyDescent="0.35">
      <c r="F343" s="37"/>
    </row>
    <row r="344" spans="6:6" x14ac:dyDescent="0.35">
      <c r="F344" s="37"/>
    </row>
    <row r="345" spans="6:6" x14ac:dyDescent="0.35">
      <c r="F345" s="37"/>
    </row>
    <row r="346" spans="6:6" x14ac:dyDescent="0.35">
      <c r="F346" s="37"/>
    </row>
    <row r="347" spans="6:6" x14ac:dyDescent="0.35">
      <c r="F347" s="37"/>
    </row>
    <row r="348" spans="6:6" x14ac:dyDescent="0.35">
      <c r="F348" s="37"/>
    </row>
    <row r="349" spans="6:6" x14ac:dyDescent="0.35">
      <c r="F349" s="37"/>
    </row>
    <row r="350" spans="6:6" x14ac:dyDescent="0.35">
      <c r="F350" s="37"/>
    </row>
    <row r="351" spans="6:6" x14ac:dyDescent="0.35">
      <c r="F351" s="37"/>
    </row>
    <row r="352" spans="6:6" x14ac:dyDescent="0.35">
      <c r="F352" s="37"/>
    </row>
    <row r="353" spans="6:6" x14ac:dyDescent="0.35">
      <c r="F353" s="37"/>
    </row>
    <row r="354" spans="6:6" x14ac:dyDescent="0.35">
      <c r="F354" s="37"/>
    </row>
    <row r="355" spans="6:6" x14ac:dyDescent="0.35">
      <c r="F355" s="37"/>
    </row>
    <row r="356" spans="6:6" x14ac:dyDescent="0.35">
      <c r="F356" s="37"/>
    </row>
    <row r="357" spans="6:6" x14ac:dyDescent="0.35">
      <c r="F357" s="37"/>
    </row>
    <row r="358" spans="6:6" x14ac:dyDescent="0.35">
      <c r="F358" s="37"/>
    </row>
    <row r="359" spans="6:6" x14ac:dyDescent="0.35">
      <c r="F359" s="37"/>
    </row>
    <row r="360" spans="6:6" x14ac:dyDescent="0.35">
      <c r="F360" s="37"/>
    </row>
  </sheetData>
  <mergeCells count="1">
    <mergeCell ref="A1:O4"/>
  </mergeCells>
  <pageMargins left="0.75" right="0.75" top="1" bottom="1" header="0.5" footer="0.5"/>
  <pageSetup orientation="portrait" r:id="rId1"/>
  <ignoredErrors>
    <ignoredError sqref="F79:F82" formulaRange="1"/>
  </ignoredErrors>
  <drawing r:id="rId2"/>
  <legacyDrawing r:id="rId3"/>
  <mc:AlternateContent xmlns:mc="http://schemas.openxmlformats.org/markup-compatibility/2006">
    <mc:Choice Requires="x14">
      <controls>
        <mc:AlternateContent xmlns:mc="http://schemas.openxmlformats.org/markup-compatibility/2006">
          <mc:Choice Requires="x14">
            <control shapeId="1025" r:id="rId4" name="Drop Down 1">
              <controlPr defaultSize="0" autoLine="0" autoPict="0">
                <anchor moveWithCells="1">
                  <from>
                    <xdr:col>1</xdr:col>
                    <xdr:colOff>0</xdr:colOff>
                    <xdr:row>5</xdr:row>
                    <xdr:rowOff>0</xdr:rowOff>
                  </from>
                  <to>
                    <xdr:col>1</xdr:col>
                    <xdr:colOff>1206500</xdr:colOff>
                    <xdr:row>6</xdr:row>
                    <xdr:rowOff>0</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9A63C3-1651-46D2-8008-CF1C5504037D}">
  <sheetPr codeName="Sheet2"/>
  <dimension ref="A1:J54"/>
  <sheetViews>
    <sheetView showGridLines="0" tabSelected="1" topLeftCell="A38" zoomScale="95" zoomScaleNormal="95" workbookViewId="0">
      <selection activeCell="L57" sqref="L57"/>
    </sheetView>
  </sheetViews>
  <sheetFormatPr defaultRowHeight="14.5" x14ac:dyDescent="0.35"/>
  <cols>
    <col min="8" max="10" width="13.6328125" bestFit="1" customWidth="1"/>
  </cols>
  <sheetData>
    <row r="1" spans="1:10" x14ac:dyDescent="0.35">
      <c r="A1" s="32" t="s">
        <v>43</v>
      </c>
    </row>
    <row r="2" spans="1:10" x14ac:dyDescent="0.35">
      <c r="C2" s="32" t="s">
        <v>0</v>
      </c>
    </row>
    <row r="3" spans="1:10" x14ac:dyDescent="0.35">
      <c r="D3" s="30" t="str">
        <f>Assumptions!C58</f>
        <v>Cars</v>
      </c>
      <c r="E3" s="30"/>
      <c r="F3" s="30"/>
      <c r="G3" s="30"/>
      <c r="H3" s="31">
        <f>Assumptions!F58</f>
        <v>327600.00000000006</v>
      </c>
      <c r="I3" s="31">
        <f>Assumptions!G58</f>
        <v>546000.00000000012</v>
      </c>
      <c r="J3" s="31">
        <f>Assumptions!H58</f>
        <v>1092000.0000000002</v>
      </c>
    </row>
    <row r="4" spans="1:10" x14ac:dyDescent="0.35">
      <c r="D4" s="30" t="str">
        <f>Assumptions!C59</f>
        <v>Tickit</v>
      </c>
      <c r="E4" s="30"/>
      <c r="F4" s="30"/>
      <c r="G4" s="30"/>
      <c r="H4" s="31">
        <f>Assumptions!F59</f>
        <v>147000</v>
      </c>
      <c r="I4" s="31">
        <f>Assumptions!G59</f>
        <v>245000</v>
      </c>
      <c r="J4" s="31">
        <f>Assumptions!H59</f>
        <v>490000</v>
      </c>
    </row>
    <row r="5" spans="1:10" x14ac:dyDescent="0.35">
      <c r="D5" s="30" t="str">
        <f>Assumptions!C60</f>
        <v>Hotels</v>
      </c>
      <c r="E5" s="30"/>
      <c r="F5" s="30"/>
      <c r="G5" s="30"/>
      <c r="H5" s="31">
        <f>Assumptions!F60</f>
        <v>384000</v>
      </c>
      <c r="I5" s="31">
        <f>Assumptions!G60</f>
        <v>640000</v>
      </c>
      <c r="J5" s="31">
        <f>Assumptions!H60</f>
        <v>1280000</v>
      </c>
    </row>
    <row r="6" spans="1:10" x14ac:dyDescent="0.35">
      <c r="C6" s="32" t="s">
        <v>44</v>
      </c>
      <c r="D6" s="32"/>
      <c r="E6" s="32"/>
      <c r="F6" s="32"/>
      <c r="G6" s="32"/>
      <c r="H6" s="42">
        <f>SUM(H3:H5)</f>
        <v>858600</v>
      </c>
      <c r="I6" s="42">
        <f>SUM(I3:I5)</f>
        <v>1431000</v>
      </c>
      <c r="J6" s="42">
        <f>SUM(J3:J5)</f>
        <v>2862000</v>
      </c>
    </row>
    <row r="7" spans="1:10" x14ac:dyDescent="0.35">
      <c r="C7" s="32" t="s">
        <v>134</v>
      </c>
    </row>
    <row r="8" spans="1:10" x14ac:dyDescent="0.35">
      <c r="D8" s="30" t="s">
        <v>51</v>
      </c>
      <c r="H8" s="31">
        <f>Assumptions!F130</f>
        <v>3000</v>
      </c>
      <c r="I8" s="31">
        <f>Assumptions!G130</f>
        <v>5000</v>
      </c>
      <c r="J8" s="31">
        <f>Assumptions!H130</f>
        <v>10000</v>
      </c>
    </row>
    <row r="9" spans="1:10" x14ac:dyDescent="0.35">
      <c r="D9" s="30" t="s">
        <v>52</v>
      </c>
      <c r="H9" s="31">
        <f>Assumptions!F132</f>
        <v>188</v>
      </c>
      <c r="I9" s="31">
        <f>Assumptions!G132</f>
        <v>188</v>
      </c>
      <c r="J9" s="31">
        <f>Assumptions!H132</f>
        <v>188</v>
      </c>
    </row>
    <row r="10" spans="1:10" x14ac:dyDescent="0.35">
      <c r="D10" s="30" t="s">
        <v>124</v>
      </c>
      <c r="H10" s="31">
        <f>Assumptions!F134</f>
        <v>4800</v>
      </c>
      <c r="I10" s="31">
        <f>Assumptions!G134</f>
        <v>8000</v>
      </c>
      <c r="J10" s="31">
        <f>Assumptions!H134</f>
        <v>16000</v>
      </c>
    </row>
    <row r="11" spans="1:10" x14ac:dyDescent="0.35">
      <c r="D11" s="30" t="s">
        <v>127</v>
      </c>
      <c r="H11" s="31">
        <f>Assumptions!F136</f>
        <v>3600</v>
      </c>
      <c r="I11" s="31">
        <f>Assumptions!G136</f>
        <v>6000</v>
      </c>
      <c r="J11" s="31">
        <f>Assumptions!H136</f>
        <v>12000</v>
      </c>
    </row>
    <row r="12" spans="1:10" x14ac:dyDescent="0.35">
      <c r="D12" s="30" t="s">
        <v>129</v>
      </c>
      <c r="H12" s="31">
        <f>Assumptions!F138</f>
        <v>2400</v>
      </c>
      <c r="I12" s="31">
        <f>Assumptions!G138</f>
        <v>3600</v>
      </c>
      <c r="J12" s="31">
        <f>Assumptions!H138</f>
        <v>6000</v>
      </c>
    </row>
    <row r="13" spans="1:10" x14ac:dyDescent="0.35">
      <c r="D13" s="30" t="s">
        <v>170</v>
      </c>
      <c r="H13" s="31">
        <f>Assumptions!F140</f>
        <v>600</v>
      </c>
      <c r="I13" s="31">
        <f>Assumptions!G140</f>
        <v>1000</v>
      </c>
      <c r="J13" s="31">
        <f>Assumptions!H140</f>
        <v>2000</v>
      </c>
    </row>
    <row r="14" spans="1:10" x14ac:dyDescent="0.35">
      <c r="D14" s="30" t="s">
        <v>131</v>
      </c>
      <c r="H14" s="31">
        <f>Assumptions!F142</f>
        <v>2400</v>
      </c>
      <c r="I14" s="31">
        <f>Assumptions!G142</f>
        <v>3600</v>
      </c>
      <c r="J14" s="31">
        <f>Assumptions!H142</f>
        <v>6000</v>
      </c>
    </row>
    <row r="15" spans="1:10" x14ac:dyDescent="0.35">
      <c r="C15" s="32" t="s">
        <v>133</v>
      </c>
      <c r="H15" s="50">
        <f>SUM(H8:H14)</f>
        <v>16988</v>
      </c>
      <c r="I15" s="50">
        <f>SUM(I8:I14)</f>
        <v>27388</v>
      </c>
      <c r="J15" s="50">
        <f>SUM(J8:J14)</f>
        <v>52188</v>
      </c>
    </row>
    <row r="16" spans="1:10" x14ac:dyDescent="0.35">
      <c r="C16" s="32" t="s">
        <v>132</v>
      </c>
      <c r="H16" s="41">
        <f>H6-H15</f>
        <v>841612</v>
      </c>
      <c r="I16" s="41">
        <f>I6-I15</f>
        <v>1403612</v>
      </c>
      <c r="J16" s="41">
        <f>J6-J15</f>
        <v>2809812</v>
      </c>
    </row>
    <row r="17" spans="3:10" x14ac:dyDescent="0.35">
      <c r="C17" s="32" t="s">
        <v>152</v>
      </c>
    </row>
    <row r="18" spans="3:10" x14ac:dyDescent="0.35">
      <c r="D18" s="7" t="s">
        <v>37</v>
      </c>
      <c r="H18" s="8">
        <f>Assumptions!F109</f>
        <v>240000</v>
      </c>
      <c r="I18" s="8">
        <f>Assumptions!G109</f>
        <v>240000</v>
      </c>
      <c r="J18" s="8">
        <f>Assumptions!H109</f>
        <v>240000</v>
      </c>
    </row>
    <row r="19" spans="3:10" x14ac:dyDescent="0.35">
      <c r="D19" s="7" t="s">
        <v>31</v>
      </c>
      <c r="H19" s="8">
        <f>Assumptions!F110</f>
        <v>240000</v>
      </c>
      <c r="I19" s="8">
        <f>Assumptions!G110</f>
        <v>240000</v>
      </c>
      <c r="J19" s="8">
        <f>Assumptions!H110</f>
        <v>240000</v>
      </c>
    </row>
    <row r="20" spans="3:10" x14ac:dyDescent="0.35">
      <c r="D20" s="7" t="s">
        <v>179</v>
      </c>
      <c r="H20" s="8">
        <f>Assumptions!F111</f>
        <v>240000</v>
      </c>
      <c r="I20" s="8">
        <f>Assumptions!G111</f>
        <v>240000</v>
      </c>
      <c r="J20" s="8">
        <f>Assumptions!H111</f>
        <v>240000</v>
      </c>
    </row>
    <row r="21" spans="3:10" x14ac:dyDescent="0.35">
      <c r="D21" s="7" t="s">
        <v>32</v>
      </c>
      <c r="H21" s="8">
        <f>Assumptions!F112</f>
        <v>60000</v>
      </c>
      <c r="I21" s="8">
        <f>Assumptions!G112</f>
        <v>0</v>
      </c>
      <c r="J21" s="8">
        <f>Assumptions!H112</f>
        <v>0</v>
      </c>
    </row>
    <row r="22" spans="3:10" x14ac:dyDescent="0.35">
      <c r="D22" s="7" t="s">
        <v>183</v>
      </c>
      <c r="H22" s="8">
        <f>Assumptions!F113</f>
        <v>48000</v>
      </c>
      <c r="I22" s="8">
        <f>Assumptions!G113</f>
        <v>0</v>
      </c>
      <c r="J22" s="8">
        <f>Assumptions!H113</f>
        <v>0</v>
      </c>
    </row>
    <row r="23" spans="3:10" x14ac:dyDescent="0.35">
      <c r="D23" s="7" t="s">
        <v>184</v>
      </c>
      <c r="H23" s="8">
        <f>Assumptions!F114</f>
        <v>30000</v>
      </c>
      <c r="I23" s="8">
        <f>Assumptions!G114</f>
        <v>0</v>
      </c>
      <c r="J23" s="8">
        <f>Assumptions!H114</f>
        <v>0</v>
      </c>
    </row>
    <row r="24" spans="3:10" x14ac:dyDescent="0.35">
      <c r="D24" s="7" t="s">
        <v>187</v>
      </c>
      <c r="H24" s="8">
        <f>Assumptions!F115</f>
        <v>216000</v>
      </c>
      <c r="I24" s="8">
        <f>Assumptions!G115</f>
        <v>216000</v>
      </c>
      <c r="J24" s="8">
        <f>Assumptions!H115</f>
        <v>216000</v>
      </c>
    </row>
    <row r="25" spans="3:10" x14ac:dyDescent="0.35">
      <c r="D25" s="7" t="s">
        <v>35</v>
      </c>
      <c r="H25" s="8">
        <f>Assumptions!F116</f>
        <v>21000</v>
      </c>
      <c r="I25" s="8">
        <f>Assumptions!G116</f>
        <v>84000</v>
      </c>
      <c r="J25" s="8">
        <f>Assumptions!H116</f>
        <v>84000</v>
      </c>
    </row>
    <row r="26" spans="3:10" x14ac:dyDescent="0.35">
      <c r="D26" s="7" t="s">
        <v>190</v>
      </c>
      <c r="H26" s="8">
        <f>Assumptions!F117</f>
        <v>60000</v>
      </c>
      <c r="I26" s="8">
        <f>Assumptions!G117</f>
        <v>180000</v>
      </c>
      <c r="J26" s="8">
        <f>Assumptions!H117</f>
        <v>180000</v>
      </c>
    </row>
    <row r="27" spans="3:10" x14ac:dyDescent="0.35">
      <c r="D27" s="7" t="s">
        <v>34</v>
      </c>
      <c r="H27" s="8">
        <f>Assumptions!F118</f>
        <v>40000</v>
      </c>
      <c r="I27" s="8">
        <f>Assumptions!G118</f>
        <v>120000</v>
      </c>
      <c r="J27" s="8">
        <f>Assumptions!H118</f>
        <v>120000</v>
      </c>
    </row>
    <row r="28" spans="3:10" x14ac:dyDescent="0.35">
      <c r="D28" s="7" t="s">
        <v>191</v>
      </c>
      <c r="H28" s="8">
        <f>Assumptions!F119</f>
        <v>0</v>
      </c>
      <c r="I28" s="8">
        <f>Assumptions!G119</f>
        <v>192000</v>
      </c>
      <c r="J28" s="8">
        <f>Assumptions!H119</f>
        <v>192000</v>
      </c>
    </row>
    <row r="29" spans="3:10" x14ac:dyDescent="0.35">
      <c r="D29" s="7" t="s">
        <v>36</v>
      </c>
      <c r="H29" s="8">
        <f>Assumptions!F120</f>
        <v>84000</v>
      </c>
      <c r="I29" s="8">
        <f>Assumptions!G120</f>
        <v>84000</v>
      </c>
      <c r="J29" s="8">
        <f>Assumptions!H120</f>
        <v>84000</v>
      </c>
    </row>
    <row r="30" spans="3:10" x14ac:dyDescent="0.35">
      <c r="D30" s="7" t="s">
        <v>192</v>
      </c>
      <c r="H30" s="8">
        <f>Assumptions!F121</f>
        <v>42000</v>
      </c>
      <c r="I30" s="8">
        <f>Assumptions!G121</f>
        <v>84000</v>
      </c>
      <c r="J30" s="8">
        <f>Assumptions!H121</f>
        <v>84000</v>
      </c>
    </row>
    <row r="31" spans="3:10" x14ac:dyDescent="0.35">
      <c r="D31" s="7" t="s">
        <v>193</v>
      </c>
      <c r="H31" s="8">
        <f>Assumptions!F122</f>
        <v>300000</v>
      </c>
      <c r="I31" s="8">
        <f>Assumptions!G122</f>
        <v>300000</v>
      </c>
      <c r="J31" s="8">
        <f>Assumptions!H122</f>
        <v>300000</v>
      </c>
    </row>
    <row r="32" spans="3:10" x14ac:dyDescent="0.35">
      <c r="D32" s="7" t="s">
        <v>135</v>
      </c>
      <c r="H32" s="8">
        <f>Assumptions!F144</f>
        <v>60000</v>
      </c>
      <c r="I32" s="8">
        <f>Assumptions!G144</f>
        <v>60000</v>
      </c>
      <c r="J32" s="8">
        <f>Assumptions!H144</f>
        <v>60000</v>
      </c>
    </row>
    <row r="33" spans="4:10" x14ac:dyDescent="0.35">
      <c r="D33" s="7" t="s">
        <v>136</v>
      </c>
      <c r="H33" s="8">
        <f>Assumptions!F145</f>
        <v>3600</v>
      </c>
      <c r="I33" s="8">
        <f>Assumptions!G145</f>
        <v>3600</v>
      </c>
      <c r="J33" s="8">
        <f>Assumptions!H145</f>
        <v>3600</v>
      </c>
    </row>
    <row r="34" spans="4:10" x14ac:dyDescent="0.35">
      <c r="D34" s="7" t="s">
        <v>137</v>
      </c>
      <c r="H34" s="8">
        <f>Assumptions!F146</f>
        <v>6000</v>
      </c>
      <c r="I34" s="8">
        <f>Assumptions!G146</f>
        <v>6000</v>
      </c>
      <c r="J34" s="8">
        <f>Assumptions!H146</f>
        <v>6000</v>
      </c>
    </row>
    <row r="35" spans="4:10" x14ac:dyDescent="0.35">
      <c r="D35" s="7" t="s">
        <v>138</v>
      </c>
      <c r="H35" s="43">
        <f>Assumptions!F147</f>
        <v>50000</v>
      </c>
      <c r="I35" s="43">
        <f>Assumptions!G147</f>
        <v>2500</v>
      </c>
      <c r="J35" s="43">
        <f>Assumptions!H147</f>
        <v>2500</v>
      </c>
    </row>
    <row r="36" spans="4:10" x14ac:dyDescent="0.35">
      <c r="D36" s="7" t="s">
        <v>139</v>
      </c>
      <c r="H36" s="43">
        <f>Assumptions!F148</f>
        <v>42000</v>
      </c>
      <c r="I36" s="43">
        <f>Assumptions!G148</f>
        <v>1000</v>
      </c>
      <c r="J36" s="43">
        <f>Assumptions!H148</f>
        <v>5000</v>
      </c>
    </row>
    <row r="37" spans="4:10" x14ac:dyDescent="0.35">
      <c r="D37" s="7" t="s">
        <v>140</v>
      </c>
      <c r="H37" s="43">
        <f>Assumptions!F149</f>
        <v>1800</v>
      </c>
      <c r="I37" s="43">
        <f>Assumptions!G149</f>
        <v>1800</v>
      </c>
      <c r="J37" s="43">
        <f>Assumptions!H149</f>
        <v>1800</v>
      </c>
    </row>
    <row r="38" spans="4:10" x14ac:dyDescent="0.35">
      <c r="D38" s="7" t="s">
        <v>141</v>
      </c>
      <c r="H38" s="43">
        <f>Assumptions!F150</f>
        <v>4800</v>
      </c>
      <c r="I38" s="43">
        <f>Assumptions!G150</f>
        <v>4800</v>
      </c>
      <c r="J38" s="43">
        <f>Assumptions!H150</f>
        <v>4800</v>
      </c>
    </row>
    <row r="39" spans="4:10" x14ac:dyDescent="0.35">
      <c r="D39" s="7" t="s">
        <v>143</v>
      </c>
      <c r="H39" s="43">
        <f>Assumptions!F151</f>
        <v>24000</v>
      </c>
      <c r="I39" s="43">
        <f>Assumptions!G151</f>
        <v>24000</v>
      </c>
      <c r="J39" s="43">
        <f>Assumptions!H151</f>
        <v>24000</v>
      </c>
    </row>
    <row r="40" spans="4:10" x14ac:dyDescent="0.35">
      <c r="D40" s="7" t="s">
        <v>144</v>
      </c>
      <c r="H40" s="43">
        <f>Assumptions!F152</f>
        <v>36000</v>
      </c>
      <c r="I40" s="43">
        <f>Assumptions!G152</f>
        <v>48000</v>
      </c>
      <c r="J40" s="43">
        <f>Assumptions!H152</f>
        <v>72000</v>
      </c>
    </row>
    <row r="41" spans="4:10" x14ac:dyDescent="0.35">
      <c r="D41" s="7" t="s">
        <v>146</v>
      </c>
      <c r="H41" s="43">
        <f>Assumptions!F153</f>
        <v>3000</v>
      </c>
      <c r="I41" s="43">
        <f>Assumptions!G153</f>
        <v>3000</v>
      </c>
      <c r="J41" s="43">
        <f>Assumptions!H153</f>
        <v>3000</v>
      </c>
    </row>
    <row r="42" spans="4:10" x14ac:dyDescent="0.35">
      <c r="D42" s="7" t="s">
        <v>147</v>
      </c>
      <c r="H42" s="43">
        <f>Assumptions!F154</f>
        <v>10000</v>
      </c>
      <c r="I42" s="43">
        <f>Assumptions!G154</f>
        <v>10000</v>
      </c>
      <c r="J42" s="43">
        <f>Assumptions!H154</f>
        <v>10000</v>
      </c>
    </row>
    <row r="43" spans="4:10" x14ac:dyDescent="0.35">
      <c r="D43" s="7" t="s">
        <v>65</v>
      </c>
      <c r="H43" s="43">
        <f>Assumptions!F155</f>
        <v>8000</v>
      </c>
      <c r="I43" s="43">
        <f>Assumptions!G155</f>
        <v>8000</v>
      </c>
      <c r="J43" s="43">
        <f>Assumptions!H155</f>
        <v>8000</v>
      </c>
    </row>
    <row r="44" spans="4:10" x14ac:dyDescent="0.35">
      <c r="D44" s="7" t="s">
        <v>66</v>
      </c>
      <c r="H44" s="43">
        <f>Assumptions!F156</f>
        <v>6000</v>
      </c>
      <c r="I44" s="43">
        <f>Assumptions!G156</f>
        <v>6000</v>
      </c>
      <c r="J44" s="43">
        <f>Assumptions!H156</f>
        <v>6900</v>
      </c>
    </row>
    <row r="45" spans="4:10" x14ac:dyDescent="0.35">
      <c r="D45" s="7" t="s">
        <v>148</v>
      </c>
      <c r="H45" s="43">
        <f>Assumptions!F157</f>
        <v>60000</v>
      </c>
      <c r="I45" s="43">
        <f>Assumptions!G157</f>
        <v>60000</v>
      </c>
      <c r="J45" s="43">
        <f>Assumptions!H157</f>
        <v>60000</v>
      </c>
    </row>
    <row r="46" spans="4:10" x14ac:dyDescent="0.35">
      <c r="D46" s="7" t="s">
        <v>151</v>
      </c>
      <c r="H46" s="43">
        <f>Assumptions!F158</f>
        <v>250000</v>
      </c>
      <c r="I46" s="43">
        <f>Assumptions!G158</f>
        <v>0</v>
      </c>
      <c r="J46" s="43">
        <f>Assumptions!H158</f>
        <v>0</v>
      </c>
    </row>
    <row r="47" spans="4:10" x14ac:dyDescent="0.35">
      <c r="D47" s="7" t="s">
        <v>149</v>
      </c>
      <c r="H47" s="43">
        <f>Assumptions!F160</f>
        <v>60000</v>
      </c>
      <c r="I47" s="43">
        <f>Assumptions!G160</f>
        <v>60000</v>
      </c>
      <c r="J47" s="43">
        <f>Assumptions!H160</f>
        <v>60000</v>
      </c>
    </row>
    <row r="48" spans="4:10" x14ac:dyDescent="0.35">
      <c r="D48" s="7" t="s">
        <v>150</v>
      </c>
      <c r="H48" s="43">
        <f>Assumptions!F161</f>
        <v>24000</v>
      </c>
      <c r="I48" s="43">
        <f>Assumptions!G161</f>
        <v>24000</v>
      </c>
      <c r="J48" s="43">
        <f>Assumptions!H161</f>
        <v>24000</v>
      </c>
    </row>
    <row r="49" spans="3:10" x14ac:dyDescent="0.35">
      <c r="D49" s="7" t="s">
        <v>177</v>
      </c>
      <c r="H49" s="43">
        <f>Assumptions!F163</f>
        <v>4000</v>
      </c>
      <c r="I49" s="43">
        <f>Assumptions!G163</f>
        <v>4000</v>
      </c>
      <c r="J49" s="43">
        <f>Assumptions!H163</f>
        <v>4000</v>
      </c>
    </row>
    <row r="50" spans="3:10" x14ac:dyDescent="0.35">
      <c r="C50" s="32" t="s">
        <v>153</v>
      </c>
      <c r="D50" s="32"/>
      <c r="E50" s="32"/>
      <c r="F50" s="32"/>
      <c r="G50" s="32"/>
      <c r="H50" s="41">
        <f>SUM(H18:H49)</f>
        <v>2274200</v>
      </c>
      <c r="I50" s="41">
        <f>SUM(I18:I49)</f>
        <v>2306700</v>
      </c>
      <c r="J50" s="41">
        <f>SUM(J18:J49)</f>
        <v>2335600</v>
      </c>
    </row>
    <row r="51" spans="3:10" x14ac:dyDescent="0.35">
      <c r="C51" s="32" t="s">
        <v>154</v>
      </c>
      <c r="H51" s="44">
        <f>H16-H50</f>
        <v>-1432588</v>
      </c>
      <c r="I51" s="44">
        <f>I16-I50</f>
        <v>-903088</v>
      </c>
      <c r="J51" s="44">
        <f>J16-J50</f>
        <v>474212</v>
      </c>
    </row>
    <row r="53" spans="3:10" x14ac:dyDescent="0.35">
      <c r="D53" s="7" t="s">
        <v>155</v>
      </c>
      <c r="H53" s="45">
        <f>Assumptions!F169</f>
        <v>30666.666666666668</v>
      </c>
      <c r="I53" s="45">
        <f>Assumptions!G169</f>
        <v>30666.666666666668</v>
      </c>
      <c r="J53" s="45">
        <f>Assumptions!H169</f>
        <v>30666.666666666668</v>
      </c>
    </row>
    <row r="54" spans="3:10" ht="21" x14ac:dyDescent="0.5">
      <c r="C54" s="29" t="s">
        <v>159</v>
      </c>
      <c r="H54" s="41">
        <f>H51-H53</f>
        <v>-1463254.6666666667</v>
      </c>
      <c r="I54" s="41">
        <f t="shared" ref="I54:J54" si="0">I51-I53</f>
        <v>-933754.66666666663</v>
      </c>
      <c r="J54" s="41">
        <f t="shared" si="0"/>
        <v>443545.33333333331</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B7CB17-3289-457F-9A5C-6280F415945E}">
  <sheetPr codeName="Sheet3"/>
  <dimension ref="A1:J168"/>
  <sheetViews>
    <sheetView showGridLines="0" workbookViewId="0">
      <selection activeCell="B3" sqref="B3"/>
    </sheetView>
  </sheetViews>
  <sheetFormatPr defaultRowHeight="14.5" x14ac:dyDescent="0.35"/>
  <cols>
    <col min="1" max="1" width="69" customWidth="1"/>
    <col min="2" max="2" width="78.1796875" customWidth="1"/>
  </cols>
  <sheetData>
    <row r="1" spans="1:2" x14ac:dyDescent="0.35">
      <c r="A1" t="s">
        <v>45</v>
      </c>
    </row>
    <row r="2" spans="1:2" x14ac:dyDescent="0.35">
      <c r="B2" t="s">
        <v>172</v>
      </c>
    </row>
    <row r="3" spans="1:2" x14ac:dyDescent="0.35">
      <c r="A3" t="s">
        <v>46</v>
      </c>
    </row>
    <row r="5" spans="1:2" x14ac:dyDescent="0.35">
      <c r="A5" t="s">
        <v>47</v>
      </c>
    </row>
    <row r="7" spans="1:2" x14ac:dyDescent="0.35">
      <c r="A7" t="s">
        <v>48</v>
      </c>
    </row>
    <row r="9" spans="1:2" x14ac:dyDescent="0.35">
      <c r="A9" t="s">
        <v>49</v>
      </c>
    </row>
    <row r="11" spans="1:2" x14ac:dyDescent="0.35">
      <c r="A11" t="s">
        <v>50</v>
      </c>
    </row>
    <row r="16" spans="1:2" x14ac:dyDescent="0.35">
      <c r="A16" s="32" t="s">
        <v>51</v>
      </c>
      <c r="B16" s="38" t="s">
        <v>122</v>
      </c>
    </row>
    <row r="17" spans="1:10" x14ac:dyDescent="0.35">
      <c r="B17" s="28"/>
    </row>
    <row r="18" spans="1:10" x14ac:dyDescent="0.35">
      <c r="A18" s="32" t="s">
        <v>52</v>
      </c>
      <c r="B18" s="38" t="s">
        <v>123</v>
      </c>
      <c r="J18" t="s">
        <v>12</v>
      </c>
    </row>
    <row r="19" spans="1:10" x14ac:dyDescent="0.35">
      <c r="B19" s="28"/>
      <c r="J19" t="s">
        <v>13</v>
      </c>
    </row>
    <row r="20" spans="1:10" x14ac:dyDescent="0.35">
      <c r="A20" s="32" t="s">
        <v>53</v>
      </c>
      <c r="B20" t="s">
        <v>125</v>
      </c>
      <c r="J20" t="s">
        <v>14</v>
      </c>
    </row>
    <row r="21" spans="1:10" x14ac:dyDescent="0.35">
      <c r="B21" s="28"/>
      <c r="J21" t="s">
        <v>15</v>
      </c>
    </row>
    <row r="22" spans="1:10" x14ac:dyDescent="0.35">
      <c r="A22" s="32" t="s">
        <v>54</v>
      </c>
      <c r="B22" s="28" t="s">
        <v>126</v>
      </c>
      <c r="J22" t="s">
        <v>16</v>
      </c>
    </row>
    <row r="23" spans="1:10" x14ac:dyDescent="0.35">
      <c r="J23" t="s">
        <v>17</v>
      </c>
    </row>
    <row r="24" spans="1:10" x14ac:dyDescent="0.35">
      <c r="A24" s="32" t="s">
        <v>55</v>
      </c>
      <c r="B24" s="39" t="s">
        <v>128</v>
      </c>
    </row>
    <row r="26" spans="1:10" x14ac:dyDescent="0.35">
      <c r="A26" s="32" t="s">
        <v>56</v>
      </c>
      <c r="J26" t="s">
        <v>23</v>
      </c>
    </row>
    <row r="27" spans="1:10" x14ac:dyDescent="0.35">
      <c r="J27" t="s">
        <v>24</v>
      </c>
    </row>
    <row r="28" spans="1:10" x14ac:dyDescent="0.35">
      <c r="A28" s="32" t="s">
        <v>57</v>
      </c>
      <c r="B28" s="40" t="s">
        <v>130</v>
      </c>
    </row>
    <row r="29" spans="1:10" x14ac:dyDescent="0.35">
      <c r="J29" t="s">
        <v>38</v>
      </c>
    </row>
    <row r="30" spans="1:10" x14ac:dyDescent="0.35">
      <c r="J30" s="28" t="s">
        <v>39</v>
      </c>
    </row>
    <row r="31" spans="1:10" x14ac:dyDescent="0.35">
      <c r="J31" s="28" t="s">
        <v>40</v>
      </c>
    </row>
    <row r="32" spans="1:10" x14ac:dyDescent="0.35">
      <c r="J32" s="28" t="s">
        <v>41</v>
      </c>
    </row>
    <row r="34" spans="1:10" ht="23.5" x14ac:dyDescent="0.35">
      <c r="A34" s="34" t="s">
        <v>58</v>
      </c>
      <c r="J34" t="s">
        <v>42</v>
      </c>
    </row>
    <row r="35" spans="1:10" x14ac:dyDescent="0.35">
      <c r="A35" s="28"/>
      <c r="C35" t="s">
        <v>166</v>
      </c>
    </row>
    <row r="36" spans="1:10" x14ac:dyDescent="0.35">
      <c r="A36" s="28" t="s">
        <v>31</v>
      </c>
      <c r="C36" s="32" t="s">
        <v>167</v>
      </c>
    </row>
    <row r="37" spans="1:10" x14ac:dyDescent="0.35">
      <c r="A37" s="28"/>
      <c r="C37" t="s">
        <v>168</v>
      </c>
    </row>
    <row r="38" spans="1:10" x14ac:dyDescent="0.35">
      <c r="A38" s="28" t="s">
        <v>32</v>
      </c>
    </row>
    <row r="39" spans="1:10" x14ac:dyDescent="0.35">
      <c r="A39" s="28"/>
    </row>
    <row r="40" spans="1:10" x14ac:dyDescent="0.35">
      <c r="A40" s="28" t="s">
        <v>59</v>
      </c>
    </row>
    <row r="41" spans="1:10" x14ac:dyDescent="0.35">
      <c r="A41" s="28"/>
    </row>
    <row r="42" spans="1:10" x14ac:dyDescent="0.35">
      <c r="A42" s="28" t="s">
        <v>33</v>
      </c>
    </row>
    <row r="43" spans="1:10" x14ac:dyDescent="0.35">
      <c r="A43" s="28"/>
    </row>
    <row r="44" spans="1:10" x14ac:dyDescent="0.35">
      <c r="A44" s="28" t="s">
        <v>35</v>
      </c>
    </row>
    <row r="45" spans="1:10" x14ac:dyDescent="0.35">
      <c r="A45" s="28"/>
    </row>
    <row r="46" spans="1:10" x14ac:dyDescent="0.35">
      <c r="A46" s="28" t="s">
        <v>60</v>
      </c>
    </row>
    <row r="48" spans="1:10" ht="23.5" x14ac:dyDescent="0.35">
      <c r="A48" s="34" t="s">
        <v>61</v>
      </c>
    </row>
    <row r="49" spans="1:1" x14ac:dyDescent="0.35">
      <c r="A49" s="28"/>
    </row>
    <row r="50" spans="1:1" x14ac:dyDescent="0.35">
      <c r="A50" s="35" t="s">
        <v>62</v>
      </c>
    </row>
    <row r="51" spans="1:1" x14ac:dyDescent="0.35">
      <c r="A51" s="28"/>
    </row>
    <row r="52" spans="1:1" x14ac:dyDescent="0.35">
      <c r="A52" s="35" t="s">
        <v>63</v>
      </c>
    </row>
    <row r="53" spans="1:1" x14ac:dyDescent="0.35">
      <c r="A53" s="28"/>
    </row>
    <row r="54" spans="1:1" x14ac:dyDescent="0.35">
      <c r="A54" s="35" t="s">
        <v>64</v>
      </c>
    </row>
    <row r="55" spans="1:1" x14ac:dyDescent="0.35">
      <c r="A55" s="28"/>
    </row>
    <row r="56" spans="1:1" x14ac:dyDescent="0.35">
      <c r="A56" s="35" t="s">
        <v>65</v>
      </c>
    </row>
    <row r="57" spans="1:1" x14ac:dyDescent="0.35">
      <c r="A57" s="28"/>
    </row>
    <row r="58" spans="1:1" x14ac:dyDescent="0.35">
      <c r="A58" s="35" t="s">
        <v>66</v>
      </c>
    </row>
    <row r="59" spans="1:1" x14ac:dyDescent="0.35">
      <c r="A59" s="28"/>
    </row>
    <row r="60" spans="1:1" x14ac:dyDescent="0.35">
      <c r="A60" s="35" t="s">
        <v>67</v>
      </c>
    </row>
    <row r="61" spans="1:1" x14ac:dyDescent="0.35">
      <c r="A61" s="28"/>
    </row>
    <row r="62" spans="1:1" x14ac:dyDescent="0.35">
      <c r="A62" s="35" t="s">
        <v>68</v>
      </c>
    </row>
    <row r="64" spans="1:1" ht="23.5" x14ac:dyDescent="0.35">
      <c r="A64" s="34" t="s">
        <v>69</v>
      </c>
    </row>
    <row r="65" spans="1:1" x14ac:dyDescent="0.35">
      <c r="A65" s="28"/>
    </row>
    <row r="66" spans="1:1" x14ac:dyDescent="0.35">
      <c r="A66" s="28" t="s">
        <v>70</v>
      </c>
    </row>
    <row r="67" spans="1:1" x14ac:dyDescent="0.35">
      <c r="A67" s="28"/>
    </row>
    <row r="68" spans="1:1" x14ac:dyDescent="0.35">
      <c r="A68" s="28" t="s">
        <v>71</v>
      </c>
    </row>
    <row r="69" spans="1:1" x14ac:dyDescent="0.35">
      <c r="A69" s="28"/>
    </row>
    <row r="70" spans="1:1" x14ac:dyDescent="0.35">
      <c r="A70" s="28" t="s">
        <v>72</v>
      </c>
    </row>
    <row r="71" spans="1:1" x14ac:dyDescent="0.35">
      <c r="A71" s="28"/>
    </row>
    <row r="72" spans="1:1" x14ac:dyDescent="0.35">
      <c r="A72" s="28" t="s">
        <v>73</v>
      </c>
    </row>
    <row r="73" spans="1:1" x14ac:dyDescent="0.35">
      <c r="A73" s="28"/>
    </row>
    <row r="74" spans="1:1" x14ac:dyDescent="0.35">
      <c r="A74" s="28" t="s">
        <v>74</v>
      </c>
    </row>
    <row r="76" spans="1:1" ht="23.5" x14ac:dyDescent="0.35">
      <c r="A76" s="34" t="s">
        <v>75</v>
      </c>
    </row>
    <row r="77" spans="1:1" x14ac:dyDescent="0.35">
      <c r="A77" s="28"/>
    </row>
    <row r="78" spans="1:1" x14ac:dyDescent="0.35">
      <c r="A78" s="28" t="s">
        <v>76</v>
      </c>
    </row>
    <row r="79" spans="1:1" x14ac:dyDescent="0.35">
      <c r="A79" s="28"/>
    </row>
    <row r="80" spans="1:1" x14ac:dyDescent="0.35">
      <c r="A80" s="28" t="s">
        <v>77</v>
      </c>
    </row>
    <row r="81" spans="1:1" x14ac:dyDescent="0.35">
      <c r="A81" s="28"/>
    </row>
    <row r="82" spans="1:1" x14ac:dyDescent="0.35">
      <c r="A82" s="28" t="s">
        <v>78</v>
      </c>
    </row>
    <row r="83" spans="1:1" x14ac:dyDescent="0.35">
      <c r="A83" s="28"/>
    </row>
    <row r="84" spans="1:1" x14ac:dyDescent="0.35">
      <c r="A84" s="28" t="s">
        <v>79</v>
      </c>
    </row>
    <row r="85" spans="1:1" x14ac:dyDescent="0.35">
      <c r="A85" s="28"/>
    </row>
    <row r="86" spans="1:1" x14ac:dyDescent="0.35">
      <c r="A86" s="28" t="s">
        <v>80</v>
      </c>
    </row>
    <row r="88" spans="1:1" ht="23.5" x14ac:dyDescent="0.35">
      <c r="A88" s="34" t="s">
        <v>81</v>
      </c>
    </row>
    <row r="89" spans="1:1" x14ac:dyDescent="0.35">
      <c r="A89" s="28"/>
    </row>
    <row r="90" spans="1:1" x14ac:dyDescent="0.35">
      <c r="A90" s="28" t="s">
        <v>82</v>
      </c>
    </row>
    <row r="91" spans="1:1" x14ac:dyDescent="0.35">
      <c r="A91" s="28"/>
    </row>
    <row r="92" spans="1:1" x14ac:dyDescent="0.35">
      <c r="A92" s="28" t="s">
        <v>83</v>
      </c>
    </row>
    <row r="93" spans="1:1" x14ac:dyDescent="0.35">
      <c r="A93" s="28"/>
    </row>
    <row r="94" spans="1:1" x14ac:dyDescent="0.35">
      <c r="A94" s="28" t="s">
        <v>84</v>
      </c>
    </row>
    <row r="95" spans="1:1" x14ac:dyDescent="0.35">
      <c r="A95" s="28"/>
    </row>
    <row r="96" spans="1:1" x14ac:dyDescent="0.35">
      <c r="A96" s="28" t="s">
        <v>85</v>
      </c>
    </row>
    <row r="97" spans="1:1" x14ac:dyDescent="0.35">
      <c r="A97" s="28"/>
    </row>
    <row r="98" spans="1:1" x14ac:dyDescent="0.35">
      <c r="A98" s="28" t="s">
        <v>86</v>
      </c>
    </row>
    <row r="99" spans="1:1" x14ac:dyDescent="0.35">
      <c r="A99" s="28"/>
    </row>
    <row r="100" spans="1:1" x14ac:dyDescent="0.35">
      <c r="A100" s="28" t="s">
        <v>87</v>
      </c>
    </row>
    <row r="101" spans="1:1" x14ac:dyDescent="0.35">
      <c r="A101" s="28"/>
    </row>
    <row r="102" spans="1:1" x14ac:dyDescent="0.35">
      <c r="A102" s="28" t="s">
        <v>88</v>
      </c>
    </row>
    <row r="103" spans="1:1" x14ac:dyDescent="0.35">
      <c r="A103" s="28"/>
    </row>
    <row r="104" spans="1:1" x14ac:dyDescent="0.35">
      <c r="A104" s="28" t="s">
        <v>89</v>
      </c>
    </row>
    <row r="106" spans="1:1" ht="23.5" x14ac:dyDescent="0.35">
      <c r="A106" s="34" t="s">
        <v>90</v>
      </c>
    </row>
    <row r="107" spans="1:1" x14ac:dyDescent="0.35">
      <c r="A107" s="28"/>
    </row>
    <row r="108" spans="1:1" x14ac:dyDescent="0.35">
      <c r="A108" s="28" t="s">
        <v>91</v>
      </c>
    </row>
    <row r="109" spans="1:1" x14ac:dyDescent="0.35">
      <c r="A109" s="28"/>
    </row>
    <row r="110" spans="1:1" x14ac:dyDescent="0.35">
      <c r="A110" s="28" t="s">
        <v>92</v>
      </c>
    </row>
    <row r="111" spans="1:1" x14ac:dyDescent="0.35">
      <c r="A111" s="28"/>
    </row>
    <row r="112" spans="1:1" x14ac:dyDescent="0.35">
      <c r="A112" s="28" t="s">
        <v>93</v>
      </c>
    </row>
    <row r="113" spans="1:1" x14ac:dyDescent="0.35">
      <c r="A113" s="28"/>
    </row>
    <row r="114" spans="1:1" x14ac:dyDescent="0.35">
      <c r="A114" s="28" t="s">
        <v>94</v>
      </c>
    </row>
    <row r="115" spans="1:1" x14ac:dyDescent="0.35">
      <c r="A115" s="28"/>
    </row>
    <row r="116" spans="1:1" x14ac:dyDescent="0.35">
      <c r="A116" s="28" t="s">
        <v>95</v>
      </c>
    </row>
    <row r="118" spans="1:1" ht="23.5" x14ac:dyDescent="0.35">
      <c r="A118" s="34" t="s">
        <v>96</v>
      </c>
    </row>
    <row r="119" spans="1:1" x14ac:dyDescent="0.35">
      <c r="A119" s="28"/>
    </row>
    <row r="120" spans="1:1" x14ac:dyDescent="0.35">
      <c r="A120" s="28" t="s">
        <v>97</v>
      </c>
    </row>
    <row r="121" spans="1:1" x14ac:dyDescent="0.35">
      <c r="A121" s="28"/>
    </row>
    <row r="122" spans="1:1" x14ac:dyDescent="0.35">
      <c r="A122" s="28" t="s">
        <v>98</v>
      </c>
    </row>
    <row r="123" spans="1:1" x14ac:dyDescent="0.35">
      <c r="A123" s="28"/>
    </row>
    <row r="124" spans="1:1" x14ac:dyDescent="0.35">
      <c r="A124" s="28" t="s">
        <v>99</v>
      </c>
    </row>
    <row r="125" spans="1:1" x14ac:dyDescent="0.35">
      <c r="A125" s="28"/>
    </row>
    <row r="126" spans="1:1" x14ac:dyDescent="0.35">
      <c r="A126" s="28" t="s">
        <v>100</v>
      </c>
    </row>
    <row r="127" spans="1:1" x14ac:dyDescent="0.35">
      <c r="A127" s="28"/>
    </row>
    <row r="128" spans="1:1" x14ac:dyDescent="0.35">
      <c r="A128" s="28" t="s">
        <v>101</v>
      </c>
    </row>
    <row r="129" spans="1:1" x14ac:dyDescent="0.35">
      <c r="A129" s="28"/>
    </row>
    <row r="130" spans="1:1" x14ac:dyDescent="0.35">
      <c r="A130" s="28" t="s">
        <v>102</v>
      </c>
    </row>
    <row r="131" spans="1:1" x14ac:dyDescent="0.35">
      <c r="A131" s="28"/>
    </row>
    <row r="132" spans="1:1" x14ac:dyDescent="0.35">
      <c r="A132" s="28" t="s">
        <v>103</v>
      </c>
    </row>
    <row r="134" spans="1:1" ht="23.5" x14ac:dyDescent="0.35">
      <c r="A134" s="34" t="s">
        <v>104</v>
      </c>
    </row>
    <row r="135" spans="1:1" x14ac:dyDescent="0.35">
      <c r="A135" s="28"/>
    </row>
    <row r="136" spans="1:1" x14ac:dyDescent="0.35">
      <c r="A136" s="28" t="s">
        <v>105</v>
      </c>
    </row>
    <row r="137" spans="1:1" x14ac:dyDescent="0.35">
      <c r="A137" s="28"/>
    </row>
    <row r="138" spans="1:1" x14ac:dyDescent="0.35">
      <c r="A138" s="28" t="s">
        <v>106</v>
      </c>
    </row>
    <row r="139" spans="1:1" x14ac:dyDescent="0.35">
      <c r="A139" s="28"/>
    </row>
    <row r="140" spans="1:1" x14ac:dyDescent="0.35">
      <c r="A140" s="28" t="s">
        <v>107</v>
      </c>
    </row>
    <row r="141" spans="1:1" x14ac:dyDescent="0.35">
      <c r="A141" s="28"/>
    </row>
    <row r="142" spans="1:1" x14ac:dyDescent="0.35">
      <c r="A142" s="28" t="s">
        <v>108</v>
      </c>
    </row>
    <row r="143" spans="1:1" x14ac:dyDescent="0.35">
      <c r="A143" s="28"/>
    </row>
    <row r="144" spans="1:1" x14ac:dyDescent="0.35">
      <c r="A144" s="28" t="s">
        <v>109</v>
      </c>
    </row>
    <row r="146" spans="1:1" ht="23.5" x14ac:dyDescent="0.35">
      <c r="A146" s="34" t="s">
        <v>110</v>
      </c>
    </row>
    <row r="147" spans="1:1" x14ac:dyDescent="0.35">
      <c r="A147" s="28"/>
    </row>
    <row r="148" spans="1:1" x14ac:dyDescent="0.35">
      <c r="A148" s="28" t="s">
        <v>111</v>
      </c>
    </row>
    <row r="149" spans="1:1" x14ac:dyDescent="0.35">
      <c r="A149" s="28"/>
    </row>
    <row r="150" spans="1:1" x14ac:dyDescent="0.35">
      <c r="A150" s="28" t="s">
        <v>112</v>
      </c>
    </row>
    <row r="151" spans="1:1" x14ac:dyDescent="0.35">
      <c r="A151" s="28"/>
    </row>
    <row r="152" spans="1:1" x14ac:dyDescent="0.35">
      <c r="A152" s="28" t="s">
        <v>113</v>
      </c>
    </row>
    <row r="153" spans="1:1" x14ac:dyDescent="0.35">
      <c r="A153" s="28"/>
    </row>
    <row r="154" spans="1:1" x14ac:dyDescent="0.35">
      <c r="A154" s="28" t="s">
        <v>114</v>
      </c>
    </row>
    <row r="155" spans="1:1" x14ac:dyDescent="0.35">
      <c r="A155" s="28"/>
    </row>
    <row r="156" spans="1:1" x14ac:dyDescent="0.35">
      <c r="A156" s="28" t="s">
        <v>115</v>
      </c>
    </row>
    <row r="157" spans="1:1" x14ac:dyDescent="0.35">
      <c r="A157" s="28"/>
    </row>
    <row r="158" spans="1:1" x14ac:dyDescent="0.35">
      <c r="A158" s="28" t="s">
        <v>116</v>
      </c>
    </row>
    <row r="160" spans="1:1" ht="23.5" x14ac:dyDescent="0.35">
      <c r="A160" s="34" t="s">
        <v>117</v>
      </c>
    </row>
    <row r="161" spans="1:1" x14ac:dyDescent="0.35">
      <c r="A161" s="28"/>
    </row>
    <row r="162" spans="1:1" x14ac:dyDescent="0.35">
      <c r="A162" s="28" t="s">
        <v>118</v>
      </c>
    </row>
    <row r="163" spans="1:1" x14ac:dyDescent="0.35">
      <c r="A163" s="28"/>
    </row>
    <row r="164" spans="1:1" x14ac:dyDescent="0.35">
      <c r="A164" s="28" t="s">
        <v>119</v>
      </c>
    </row>
    <row r="165" spans="1:1" x14ac:dyDescent="0.35">
      <c r="A165" s="28"/>
    </row>
    <row r="166" spans="1:1" x14ac:dyDescent="0.35">
      <c r="A166" s="28" t="s">
        <v>120</v>
      </c>
    </row>
    <row r="167" spans="1:1" x14ac:dyDescent="0.35">
      <c r="A167" s="28"/>
    </row>
    <row r="168" spans="1:1" x14ac:dyDescent="0.35">
      <c r="A168" s="28" t="s">
        <v>121</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Assumptions</vt:lpstr>
      <vt:lpstr>Income statement</vt:lpstr>
      <vt:lpstr>clarifications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user</cp:lastModifiedBy>
  <cp:lastPrinted>2026-04-29T09:28:10Z</cp:lastPrinted>
  <dcterms:created xsi:type="dcterms:W3CDTF">2026-04-25T00:25:33Z</dcterms:created>
  <dcterms:modified xsi:type="dcterms:W3CDTF">2026-05-04T23:21:27Z</dcterms:modified>
</cp:coreProperties>
</file>